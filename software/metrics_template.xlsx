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<sst xmlns="http://schemas.openxmlformats.org/spreadsheetml/2006/main" count="23" uniqueCount="23">
  <si>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seg_index</t>
  </si>
  <si>
    <t>true_label</t>
  </si>
  <si>
    <t>pred_label</t>
  </si>
  <si>
    <t>mem_normal</t>
  </si>
  <si>
    <t>mem_anomaly</t>
  </si>
  <si>
    <t>score_anomaly</t>
  </si>
  <si>
    <t>correct</t>
  </si>
  <si>
    <t>▶ 사용법: 이 시트 A1(또는 A2)부터 eval_dcase.csv 전체를 붙여넣으면 metrics 시트 차트가 자동 갱신됩니다. 위 예시 행은 덮어쓰세요. (true_label=B열, score_anomaly=F열 / 값이 숫자여야 함)</t>
  </si>
  <si>
    <t>threshold</t>
  </si>
  <si>
    <t>TP</t>
  </si>
  <si>
    <t>FP</t>
  </si>
  <si>
    <t>FN</t>
  </si>
  <si>
    <t>TN</t>
  </si>
  <si>
    <t>Precision</t>
  </si>
  <si>
    <t>Recall(TPR)</t>
  </si>
  <si>
    <t>F1</t>
  </si>
  <si>
    <t>FPR</t>
  </si>
  <si>
    <t>요약</t>
  </si>
  <si>
    <t>best F1</t>
  </si>
  <si>
    <t>best threshold</t>
  </si>
  <si>
    <t>F1 @0.5 (argmax)</t>
  </si>
  <si>
    <t>ROC AUC</t>
  </si>
  <si>
    <t>PR AUC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</si>
</sst>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wrapText="1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F1 vs Threshold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F1</c:v>
          </c:tx>
          <c:spPr>
            <a:ln>
              <a:solidFill>
                <a:srgbClr val="ED7D31"/>
              </a:solidFill>
            </a:ln>
          </c:spPr>
          <c:marker>
            <c:symbol val="none"/>
          </c:marker>
          <c:cat>
            <c:numRef>
              <c:f>metrics!$A$2:$A$102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0.07000000000000001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0.5600000000000001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0.6899999999999999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0.8100000000000001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0.9399999999999999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metrics!$H$2:$H$102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threshold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F1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ROC Curve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ROC</c:v>
          </c:tx>
          <c:spPr>
            <a:ln>
              <a:solidFill>
                <a:srgbClr val="4472C4"/>
              </a:solidFill>
            </a:ln>
          </c:spPr>
          <c:marker>
            <c:symbol val="none"/>
          </c:marker>
          <c:xVal>
            <c:numRef>
              <c:f>metrics!$I$2:$I$102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metrics!$G$2:$G$102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FPR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TPR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Precision-Recall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PR</c:v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metrics!$G$2:$G$102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metrics!$F$2:$F$102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Recall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Precision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15</xdr:col>
      <xdr:colOff>514350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23</xdr:row>
      <xdr:rowOff>0</xdr:rowOff>
    </xdr:from>
    <xdr:to>
      <xdr:col>15</xdr:col>
      <xdr:colOff>514350</xdr:colOff>
      <xdr:row>37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15</xdr:col>
      <xdr:colOff>514350</xdr:colOff>
      <xdr:row>53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cols>
    <col min="1" max="7" width="12.7109375" customWidth="1"/>
    <col min="10" max="10" width="6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" t="s">
        <v>7</v>
      </c>
    </row>
    <row r="2" spans="1:10">
      <c r="A2">
        <v>23890</v>
      </c>
      <c r="B2">
        <v>1</v>
      </c>
      <c r="C2">
        <v>1</v>
      </c>
      <c r="D2">
        <v>0.225253</v>
      </c>
      <c r="E2">
        <v>0.882694</v>
      </c>
      <c r="F2">
        <v>0.658685</v>
      </c>
      <c r="G2">
        <v>1</v>
      </c>
    </row>
    <row r="3" spans="1:10">
      <c r="A3">
        <v>24247</v>
      </c>
      <c r="B3">
        <v>1</v>
      </c>
      <c r="C3">
        <v>1</v>
      </c>
      <c r="D3">
        <v>1.268925</v>
      </c>
      <c r="E3">
        <v>1.929762</v>
      </c>
      <c r="F3">
        <v>0.659448</v>
      </c>
      <c r="G3">
        <v>1</v>
      </c>
    </row>
    <row r="4" spans="1:10">
      <c r="A4">
        <v>26765</v>
      </c>
      <c r="B4">
        <v>1</v>
      </c>
      <c r="C4">
        <v>1</v>
      </c>
      <c r="D4">
        <v>-2.944334</v>
      </c>
      <c r="E4">
        <v>-1.604411</v>
      </c>
      <c r="F4">
        <v>0.792477</v>
      </c>
      <c r="G4">
        <v>1</v>
      </c>
    </row>
    <row r="5" spans="1:10">
      <c r="A5">
        <v>25189</v>
      </c>
      <c r="B5">
        <v>1</v>
      </c>
      <c r="C5">
        <v>1</v>
      </c>
      <c r="D5">
        <v>0.413338</v>
      </c>
      <c r="E5">
        <v>0.8506089999999999</v>
      </c>
      <c r="F5">
        <v>0.607608</v>
      </c>
      <c r="G5">
        <v>1</v>
      </c>
    </row>
    <row r="6" spans="1:10">
      <c r="A6">
        <v>11601</v>
      </c>
      <c r="B6">
        <v>0</v>
      </c>
      <c r="C6">
        <v>0</v>
      </c>
      <c r="D6">
        <v>1.978862</v>
      </c>
      <c r="E6">
        <v>0.921897</v>
      </c>
      <c r="F6">
        <v>0.25789</v>
      </c>
      <c r="G6">
        <v>1</v>
      </c>
    </row>
    <row r="7" spans="1:10">
      <c r="A7">
        <v>1117</v>
      </c>
      <c r="B7">
        <v>0</v>
      </c>
      <c r="C7">
        <v>1</v>
      </c>
      <c r="D7">
        <v>0.07906299999999999</v>
      </c>
      <c r="E7">
        <v>0.488701</v>
      </c>
      <c r="F7">
        <v>0.601001</v>
      </c>
      <c r="G7">
        <v>0</v>
      </c>
    </row>
    <row r="8" spans="1:10">
      <c r="A8">
        <v>1756</v>
      </c>
      <c r="B8">
        <v>0</v>
      </c>
      <c r="C8">
        <v>0</v>
      </c>
      <c r="D8">
        <v>-1.033649</v>
      </c>
      <c r="E8">
        <v>-2.460118</v>
      </c>
      <c r="F8">
        <v>0.193649</v>
      </c>
      <c r="G8">
        <v>1</v>
      </c>
    </row>
    <row r="9" spans="1:10">
      <c r="A9">
        <v>16881</v>
      </c>
      <c r="B9">
        <v>1</v>
      </c>
      <c r="C9">
        <v>1</v>
      </c>
      <c r="D9">
        <v>-0.482381</v>
      </c>
      <c r="E9">
        <v>0.174933</v>
      </c>
      <c r="F9">
        <v>0.658657</v>
      </c>
      <c r="G9">
        <v>1</v>
      </c>
    </row>
    <row r="10" spans="1:10">
      <c r="A10">
        <v>6751</v>
      </c>
      <c r="B10">
        <v>0</v>
      </c>
      <c r="C10">
        <v>1</v>
      </c>
      <c r="D10">
        <v>-0.449343</v>
      </c>
      <c r="E10">
        <v>-0.194836</v>
      </c>
      <c r="F10">
        <v>0.563285</v>
      </c>
      <c r="G10">
        <v>0</v>
      </c>
    </row>
    <row r="11" spans="1:10">
      <c r="A11">
        <v>870</v>
      </c>
      <c r="B11">
        <v>0</v>
      </c>
      <c r="C11">
        <v>1</v>
      </c>
      <c r="D11">
        <v>-0.599104</v>
      </c>
      <c r="E11">
        <v>0.287925</v>
      </c>
      <c r="F11">
        <v>0.708277</v>
      </c>
      <c r="G11">
        <v>0</v>
      </c>
    </row>
    <row r="12" spans="1:10">
      <c r="A12">
        <v>19741</v>
      </c>
      <c r="B12">
        <v>1</v>
      </c>
      <c r="C12">
        <v>1</v>
      </c>
      <c r="D12">
        <v>0.371475</v>
      </c>
      <c r="E12">
        <v>0.468781</v>
      </c>
      <c r="F12">
        <v>0.524307</v>
      </c>
      <c r="G12">
        <v>1</v>
      </c>
    </row>
    <row r="13" spans="1:10">
      <c r="A13">
        <v>9104</v>
      </c>
      <c r="B13">
        <v>0</v>
      </c>
      <c r="C13">
        <v>0</v>
      </c>
      <c r="D13">
        <v>1.402748</v>
      </c>
      <c r="E13">
        <v>1.318389</v>
      </c>
      <c r="F13">
        <v>0.478923</v>
      </c>
      <c r="G13">
        <v>1</v>
      </c>
    </row>
    <row r="14" spans="1:10">
      <c r="A14">
        <v>721</v>
      </c>
      <c r="B14">
        <v>0</v>
      </c>
      <c r="C14">
        <v>1</v>
      </c>
      <c r="D14">
        <v>0.127814</v>
      </c>
      <c r="E14">
        <v>1.098003</v>
      </c>
      <c r="F14">
        <v>0.7251570000000001</v>
      </c>
      <c r="G14">
        <v>0</v>
      </c>
    </row>
    <row r="15" spans="1:10">
      <c r="A15">
        <v>10997</v>
      </c>
      <c r="B15">
        <v>0</v>
      </c>
      <c r="C15">
        <v>0</v>
      </c>
      <c r="D15">
        <v>1.490009</v>
      </c>
      <c r="E15">
        <v>0.817311</v>
      </c>
      <c r="F15">
        <v>0.337893</v>
      </c>
      <c r="G15">
        <v>1</v>
      </c>
    </row>
    <row r="16" spans="1:10">
      <c r="A16">
        <v>17270</v>
      </c>
      <c r="B16">
        <v>1</v>
      </c>
      <c r="C16">
        <v>1</v>
      </c>
      <c r="D16">
        <v>0.017394</v>
      </c>
      <c r="E16">
        <v>0.589315</v>
      </c>
      <c r="F16">
        <v>0.6392060000000001</v>
      </c>
      <c r="G16">
        <v>1</v>
      </c>
    </row>
    <row r="17" spans="1:7">
      <c r="A17">
        <v>19727</v>
      </c>
      <c r="B17">
        <v>1</v>
      </c>
      <c r="C17">
        <v>1</v>
      </c>
      <c r="D17">
        <v>-0.268864</v>
      </c>
      <c r="E17">
        <v>-0.203573</v>
      </c>
      <c r="F17">
        <v>0.516317</v>
      </c>
      <c r="G17">
        <v>1</v>
      </c>
    </row>
    <row r="18" spans="1:7">
      <c r="A18">
        <v>25292</v>
      </c>
      <c r="B18">
        <v>1</v>
      </c>
      <c r="C18">
        <v>1</v>
      </c>
      <c r="D18">
        <v>1.046037</v>
      </c>
      <c r="E18">
        <v>1.679928</v>
      </c>
      <c r="F18">
        <v>0.653371</v>
      </c>
      <c r="G18">
        <v>1</v>
      </c>
    </row>
    <row r="19" spans="1:7">
      <c r="A19">
        <v>26897</v>
      </c>
      <c r="B19">
        <v>1</v>
      </c>
      <c r="C19">
        <v>1</v>
      </c>
      <c r="D19">
        <v>-0.153106</v>
      </c>
      <c r="E19">
        <v>0.07581599999999999</v>
      </c>
      <c r="F19">
        <v>0.556982</v>
      </c>
      <c r="G19">
        <v>1</v>
      </c>
    </row>
    <row r="20" spans="1:7">
      <c r="A20">
        <v>8347</v>
      </c>
      <c r="B20">
        <v>0</v>
      </c>
      <c r="C20">
        <v>0</v>
      </c>
      <c r="D20">
        <v>1.08502</v>
      </c>
      <c r="E20">
        <v>0.973325</v>
      </c>
      <c r="F20">
        <v>0.472105</v>
      </c>
      <c r="G20">
        <v>1</v>
      </c>
    </row>
    <row r="21" spans="1:7">
      <c r="A21">
        <v>15588</v>
      </c>
      <c r="B21">
        <v>1</v>
      </c>
      <c r="C21">
        <v>1</v>
      </c>
      <c r="D21">
        <v>-1.18249</v>
      </c>
      <c r="E21">
        <v>0.011487</v>
      </c>
      <c r="F21">
        <v>0.767452</v>
      </c>
      <c r="G21">
        <v>1</v>
      </c>
    </row>
    <row r="22" spans="1:7">
      <c r="A22">
        <v>27520</v>
      </c>
      <c r="B22">
        <v>1</v>
      </c>
      <c r="C22">
        <v>1</v>
      </c>
      <c r="D22">
        <v>-0.77582</v>
      </c>
      <c r="E22">
        <v>0.831219</v>
      </c>
      <c r="F22">
        <v>0.833</v>
      </c>
      <c r="G22">
        <v>1</v>
      </c>
    </row>
    <row r="23" spans="1:7">
      <c r="A23">
        <v>10938</v>
      </c>
      <c r="B23">
        <v>0</v>
      </c>
      <c r="C23">
        <v>0</v>
      </c>
      <c r="D23">
        <v>0.53545</v>
      </c>
      <c r="E23">
        <v>0.194744</v>
      </c>
      <c r="F23">
        <v>0.415638</v>
      </c>
      <c r="G23">
        <v>1</v>
      </c>
    </row>
    <row r="24" spans="1:7">
      <c r="A24">
        <v>24386</v>
      </c>
      <c r="B24">
        <v>1</v>
      </c>
      <c r="C24">
        <v>1</v>
      </c>
      <c r="D24">
        <v>0.76406</v>
      </c>
      <c r="E24">
        <v>1.222285</v>
      </c>
      <c r="F24">
        <v>0.6125930000000001</v>
      </c>
      <c r="G24">
        <v>1</v>
      </c>
    </row>
    <row r="25" spans="1:7">
      <c r="A25">
        <v>24480</v>
      </c>
      <c r="B25">
        <v>1</v>
      </c>
      <c r="C25">
        <v>1</v>
      </c>
      <c r="D25">
        <v>0.782524</v>
      </c>
      <c r="E25">
        <v>1.098141</v>
      </c>
      <c r="F25">
        <v>0.578256</v>
      </c>
      <c r="G25">
        <v>1</v>
      </c>
    </row>
    <row r="26" spans="1:7">
      <c r="A26">
        <v>314</v>
      </c>
      <c r="B26">
        <v>0</v>
      </c>
      <c r="C26">
        <v>1</v>
      </c>
      <c r="D26">
        <v>-0.29022</v>
      </c>
      <c r="E26">
        <v>-0.176867</v>
      </c>
      <c r="F26">
        <v>0.528308</v>
      </c>
      <c r="G26">
        <v>0</v>
      </c>
    </row>
    <row r="27" spans="1:7">
      <c r="A27">
        <v>27907</v>
      </c>
      <c r="B27">
        <v>1</v>
      </c>
      <c r="C27">
        <v>1</v>
      </c>
      <c r="D27">
        <v>0.16186</v>
      </c>
      <c r="E27">
        <v>0.876648</v>
      </c>
      <c r="F27">
        <v>0.671458</v>
      </c>
      <c r="G27">
        <v>1</v>
      </c>
    </row>
    <row r="28" spans="1:7">
      <c r="A28">
        <v>24357</v>
      </c>
      <c r="B28">
        <v>1</v>
      </c>
      <c r="C28">
        <v>1</v>
      </c>
      <c r="D28">
        <v>-0.457157</v>
      </c>
      <c r="E28">
        <v>0.380906</v>
      </c>
      <c r="F28">
        <v>0.698057</v>
      </c>
      <c r="G28">
        <v>1</v>
      </c>
    </row>
    <row r="29" spans="1:7">
      <c r="A29">
        <v>25524</v>
      </c>
      <c r="B29">
        <v>1</v>
      </c>
      <c r="C29">
        <v>1</v>
      </c>
      <c r="D29">
        <v>0.061096</v>
      </c>
      <c r="E29">
        <v>0.816642</v>
      </c>
      <c r="F29">
        <v>0.680386</v>
      </c>
      <c r="G29">
        <v>1</v>
      </c>
    </row>
    <row r="30" spans="1:7">
      <c r="A30">
        <v>20588</v>
      </c>
      <c r="B30">
        <v>1</v>
      </c>
      <c r="C30">
        <v>1</v>
      </c>
      <c r="D30">
        <v>-0.778284</v>
      </c>
      <c r="E30">
        <v>0.040099</v>
      </c>
      <c r="F30">
        <v>0.693893</v>
      </c>
      <c r="G30">
        <v>1</v>
      </c>
    </row>
    <row r="31" spans="1:7">
      <c r="A31">
        <v>5850</v>
      </c>
      <c r="B31">
        <v>0</v>
      </c>
      <c r="C31">
        <v>0</v>
      </c>
      <c r="D31">
        <v>-2.30077</v>
      </c>
      <c r="E31">
        <v>-4.145677</v>
      </c>
      <c r="F31">
        <v>0.136472</v>
      </c>
      <c r="G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2"/>
  <sheetViews>
    <sheetView workbookViewId="0"/>
  </sheetViews>
  <sheetFormatPr defaultRowHeight="15"/>
  <cols>
    <col min="1" max="9" width="11.7109375" customWidth="1"/>
    <col min="11" max="12" width="16.7109375" customWidth="1"/>
  </cols>
  <sheetData>
    <row r="1" spans="1:1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K1" s="3" t="s">
        <v>17</v>
      </c>
    </row>
    <row r="2" spans="1:12">
      <c r="A2" s="4">
        <v>0</v>
      </c>
      <c r="B2">
        <f>COUNTIFS(data!$B$2:$B$100000,1,data!$F$2:$F$100000,"&gt;="&amp;$A2)</f>
        <v>0</v>
      </c>
      <c r="C2">
        <f>COUNTIFS(data!$B$2:$B$100000,0,data!$F$2:$F$100000,"&gt;="&amp;$A2)</f>
        <v>0</v>
      </c>
      <c r="D2">
        <f>COUNTIFS(data!$B$2:$B$100000,1,data!$F$2:$F$100000,"&lt;"&amp;$A2)</f>
        <v>0</v>
      </c>
      <c r="E2">
        <f>COUNTIFS(data!$B$2:$B$100000,0,data!$F$2:$F$100000,"&lt;"&amp;$A2)</f>
        <v>0</v>
      </c>
      <c r="F2" s="4">
        <f>IF(($B2+$C2)=0,0,$B2/($B2+$C2))</f>
        <v>0</v>
      </c>
      <c r="G2" s="4">
        <f>IF(($B2+$D2)=0,0,$B2/($B2+$D2))</f>
        <v>0</v>
      </c>
      <c r="H2" s="4">
        <f>IF(($F2+$G2)=0,0,2*$F2*$G2/($F2+$G2))</f>
        <v>0</v>
      </c>
      <c r="I2" s="4">
        <f>IF(($C2+$E2)=0,0,$C2/($C2+$E2))</f>
        <v>0</v>
      </c>
      <c r="K2" s="3" t="s">
        <v>18</v>
      </c>
      <c r="L2" s="4">
        <f>MAX($H$2:$H$102)</f>
        <v>0</v>
      </c>
    </row>
    <row r="3" spans="1:12">
      <c r="A3" s="4">
        <v>0.01</v>
      </c>
      <c r="B3">
        <f>COUNTIFS(data!$B$2:$B$100000,1,data!$F$2:$F$100000,"&gt;="&amp;$A3)</f>
        <v>0</v>
      </c>
      <c r="C3">
        <f>COUNTIFS(data!$B$2:$B$100000,0,data!$F$2:$F$100000,"&gt;="&amp;$A3)</f>
        <v>0</v>
      </c>
      <c r="D3">
        <f>COUNTIFS(data!$B$2:$B$100000,1,data!$F$2:$F$100000,"&lt;"&amp;$A3)</f>
        <v>0</v>
      </c>
      <c r="E3">
        <f>COUNTIFS(data!$B$2:$B$100000,0,data!$F$2:$F$100000,"&lt;"&amp;$A3)</f>
        <v>0</v>
      </c>
      <c r="F3" s="4">
        <f>IF(($B3+$C3)=0,0,$B3/($B3+$C3))</f>
        <v>0</v>
      </c>
      <c r="G3" s="4">
        <f>IF(($B3+$D3)=0,0,$B3/($B3+$D3))</f>
        <v>0</v>
      </c>
      <c r="H3" s="4">
        <f>IF(($F3+$G3)=0,0,2*$F3*$G3/($F3+$G3))</f>
        <v>0</v>
      </c>
      <c r="I3" s="4">
        <f>IF(($C3+$E3)=0,0,$C3/($C3+$E3))</f>
        <v>0</v>
      </c>
      <c r="K3" s="3" t="s">
        <v>19</v>
      </c>
      <c r="L3" s="4">
        <f>INDEX($A$2:$A$102,MATCH(MAX($H$2:$H$102),$H$2:$H$102,0))</f>
        <v>0</v>
      </c>
    </row>
    <row r="4" spans="1:12">
      <c r="A4" s="4">
        <v>0.02</v>
      </c>
      <c r="B4">
        <f>COUNTIFS(data!$B$2:$B$100000,1,data!$F$2:$F$100000,"&gt;="&amp;$A4)</f>
        <v>0</v>
      </c>
      <c r="C4">
        <f>COUNTIFS(data!$B$2:$B$100000,0,data!$F$2:$F$100000,"&gt;="&amp;$A4)</f>
        <v>0</v>
      </c>
      <c r="D4">
        <f>COUNTIFS(data!$B$2:$B$100000,1,data!$F$2:$F$100000,"&lt;"&amp;$A4)</f>
        <v>0</v>
      </c>
      <c r="E4">
        <f>COUNTIFS(data!$B$2:$B$100000,0,data!$F$2:$F$100000,"&lt;"&amp;$A4)</f>
        <v>0</v>
      </c>
      <c r="F4" s="4">
        <f>IF(($B4+$C4)=0,0,$B4/($B4+$C4))</f>
        <v>0</v>
      </c>
      <c r="G4" s="4">
        <f>IF(($B4+$D4)=0,0,$B4/($B4+$D4))</f>
        <v>0</v>
      </c>
      <c r="H4" s="4">
        <f>IF(($F4+$G4)=0,0,2*$F4*$G4/($F4+$G4))</f>
        <v>0</v>
      </c>
      <c r="I4" s="4">
        <f>IF(($C4+$E4)=0,0,$C4/($C4+$E4))</f>
        <v>0</v>
      </c>
      <c r="K4" s="3" t="s">
        <v>20</v>
      </c>
      <c r="L4" s="4">
        <f>$H$52</f>
        <v>0</v>
      </c>
    </row>
    <row r="5" spans="1:12">
      <c r="A5" s="4">
        <v>0.03</v>
      </c>
      <c r="B5">
        <f>COUNTIFS(data!$B$2:$B$100000,1,data!$F$2:$F$100000,"&gt;="&amp;$A5)</f>
        <v>0</v>
      </c>
      <c r="C5">
        <f>COUNTIFS(data!$B$2:$B$100000,0,data!$F$2:$F$100000,"&gt;="&amp;$A5)</f>
        <v>0</v>
      </c>
      <c r="D5">
        <f>COUNTIFS(data!$B$2:$B$100000,1,data!$F$2:$F$100000,"&lt;"&amp;$A5)</f>
        <v>0</v>
      </c>
      <c r="E5">
        <f>COUNTIFS(data!$B$2:$B$100000,0,data!$F$2:$F$100000,"&lt;"&amp;$A5)</f>
        <v>0</v>
      </c>
      <c r="F5" s="4">
        <f>IF(($B5+$C5)=0,0,$B5/($B5+$C5))</f>
        <v>0</v>
      </c>
      <c r="G5" s="4">
        <f>IF(($B5+$D5)=0,0,$B5/($B5+$D5))</f>
        <v>0</v>
      </c>
      <c r="H5" s="4">
        <f>IF(($F5+$G5)=0,0,2*$F5*$G5/($F5+$G5))</f>
        <v>0</v>
      </c>
      <c r="I5" s="4">
        <f>IF(($C5+$E5)=0,0,$C5/($C5+$E5))</f>
        <v>0</v>
      </c>
      <c r="K5" s="3" t="s">
        <v>21</v>
      </c>
      <c r="L5" s="4">
        <f>SUMPRODUCT(($I$2:$I$101-$I$3:$I$102),($G$2:$G$101+$G$3:$G$102)/2)</f>
        <v>0</v>
      </c>
    </row>
    <row r="6" spans="1:12">
      <c r="A6" s="4">
        <v>0.04</v>
      </c>
      <c r="B6">
        <f>COUNTIFS(data!$B$2:$B$100000,1,data!$F$2:$F$100000,"&gt;="&amp;$A6)</f>
        <v>0</v>
      </c>
      <c r="C6">
        <f>COUNTIFS(data!$B$2:$B$100000,0,data!$F$2:$F$100000,"&gt;="&amp;$A6)</f>
        <v>0</v>
      </c>
      <c r="D6">
        <f>COUNTIFS(data!$B$2:$B$100000,1,data!$F$2:$F$100000,"&lt;"&amp;$A6)</f>
        <v>0</v>
      </c>
      <c r="E6">
        <f>COUNTIFS(data!$B$2:$B$100000,0,data!$F$2:$F$100000,"&lt;"&amp;$A6)</f>
        <v>0</v>
      </c>
      <c r="F6" s="4">
        <f>IF(($B6+$C6)=0,0,$B6/($B6+$C6))</f>
        <v>0</v>
      </c>
      <c r="G6" s="4">
        <f>IF(($B6+$D6)=0,0,$B6/($B6+$D6))</f>
        <v>0</v>
      </c>
      <c r="H6" s="4">
        <f>IF(($F6+$G6)=0,0,2*$F6*$G6/($F6+$G6))</f>
        <v>0</v>
      </c>
      <c r="I6" s="4">
        <f>IF(($C6+$E6)=0,0,$C6/($C6+$E6))</f>
        <v>0</v>
      </c>
      <c r="K6" s="3" t="s">
        <v>22</v>
      </c>
      <c r="L6" s="4">
        <f>SUMPRODUCT(($G$2:$G$101-$G$3:$G$102),($F$2:$F$101+$F$3:$F$102)/2)</f>
        <v>0</v>
      </c>
    </row>
    <row r="7" spans="1:12">
      <c r="A7" s="4">
        <v>0.05</v>
      </c>
      <c r="B7">
        <f>COUNTIFS(data!$B$2:$B$100000,1,data!$F$2:$F$100000,"&gt;="&amp;$A7)</f>
        <v>0</v>
      </c>
      <c r="C7">
        <f>COUNTIFS(data!$B$2:$B$100000,0,data!$F$2:$F$100000,"&gt;="&amp;$A7)</f>
        <v>0</v>
      </c>
      <c r="D7">
        <f>COUNTIFS(data!$B$2:$B$100000,1,data!$F$2:$F$100000,"&lt;"&amp;$A7)</f>
        <v>0</v>
      </c>
      <c r="E7">
        <f>COUNTIFS(data!$B$2:$B$100000,0,data!$F$2:$F$100000,"&lt;"&amp;$A7)</f>
        <v>0</v>
      </c>
      <c r="F7" s="4">
        <f>IF(($B7+$C7)=0,0,$B7/($B7+$C7))</f>
        <v>0</v>
      </c>
      <c r="G7" s="4">
        <f>IF(($B7+$D7)=0,0,$B7/($B7+$D7))</f>
        <v>0</v>
      </c>
      <c r="H7" s="4">
        <f>IF(($F7+$G7)=0,0,2*$F7*$G7/($F7+$G7))</f>
        <v>0</v>
      </c>
      <c r="I7" s="4">
        <f>IF(($C7+$E7)=0,0,$C7/($C7+$E7))</f>
        <v>0</v>
      </c>
    </row>
    <row r="8" spans="1:12">
      <c r="A8" s="4">
        <v>0.06</v>
      </c>
      <c r="B8">
        <f>COUNTIFS(data!$B$2:$B$100000,1,data!$F$2:$F$100000,"&gt;="&amp;$A8)</f>
        <v>0</v>
      </c>
      <c r="C8">
        <f>COUNTIFS(data!$B$2:$B$100000,0,data!$F$2:$F$100000,"&gt;="&amp;$A8)</f>
        <v>0</v>
      </c>
      <c r="D8">
        <f>COUNTIFS(data!$B$2:$B$100000,1,data!$F$2:$F$100000,"&lt;"&amp;$A8)</f>
        <v>0</v>
      </c>
      <c r="E8">
        <f>COUNTIFS(data!$B$2:$B$100000,0,data!$F$2:$F$100000,"&lt;"&amp;$A8)</f>
        <v>0</v>
      </c>
      <c r="F8" s="4">
        <f>IF(($B8+$C8)=0,0,$B8/($B8+$C8))</f>
        <v>0</v>
      </c>
      <c r="G8" s="4">
        <f>IF(($B8+$D8)=0,0,$B8/($B8+$D8))</f>
        <v>0</v>
      </c>
      <c r="H8" s="4">
        <f>IF(($F8+$G8)=0,0,2*$F8*$G8/($F8+$G8))</f>
        <v>0</v>
      </c>
      <c r="I8" s="4">
        <f>IF(($C8+$E8)=0,0,$C8/($C8+$E8))</f>
        <v>0</v>
      </c>
    </row>
    <row r="9" spans="1:12">
      <c r="A9" s="4">
        <v>0.07000000000000001</v>
      </c>
      <c r="B9">
        <f>COUNTIFS(data!$B$2:$B$100000,1,data!$F$2:$F$100000,"&gt;="&amp;$A9)</f>
        <v>0</v>
      </c>
      <c r="C9">
        <f>COUNTIFS(data!$B$2:$B$100000,0,data!$F$2:$F$100000,"&gt;="&amp;$A9)</f>
        <v>0</v>
      </c>
      <c r="D9">
        <f>COUNTIFS(data!$B$2:$B$100000,1,data!$F$2:$F$100000,"&lt;"&amp;$A9)</f>
        <v>0</v>
      </c>
      <c r="E9">
        <f>COUNTIFS(data!$B$2:$B$100000,0,data!$F$2:$F$100000,"&lt;"&amp;$A9)</f>
        <v>0</v>
      </c>
      <c r="F9" s="4">
        <f>IF(($B9+$C9)=0,0,$B9/($B9+$C9))</f>
        <v>0</v>
      </c>
      <c r="G9" s="4">
        <f>IF(($B9+$D9)=0,0,$B9/($B9+$D9))</f>
        <v>0</v>
      </c>
      <c r="H9" s="4">
        <f>IF(($F9+$G9)=0,0,2*$F9*$G9/($F9+$G9))</f>
        <v>0</v>
      </c>
      <c r="I9" s="4">
        <f>IF(($C9+$E9)=0,0,$C9/($C9+$E9))</f>
        <v>0</v>
      </c>
    </row>
    <row r="10" spans="1:12">
      <c r="A10" s="4">
        <v>0.08</v>
      </c>
      <c r="B10">
        <f>COUNTIFS(data!$B$2:$B$100000,1,data!$F$2:$F$100000,"&gt;="&amp;$A10)</f>
        <v>0</v>
      </c>
      <c r="C10">
        <f>COUNTIFS(data!$B$2:$B$100000,0,data!$F$2:$F$100000,"&gt;="&amp;$A10)</f>
        <v>0</v>
      </c>
      <c r="D10">
        <f>COUNTIFS(data!$B$2:$B$100000,1,data!$F$2:$F$100000,"&lt;"&amp;$A10)</f>
        <v>0</v>
      </c>
      <c r="E10">
        <f>COUNTIFS(data!$B$2:$B$100000,0,data!$F$2:$F$100000,"&lt;"&amp;$A10)</f>
        <v>0</v>
      </c>
      <c r="F10" s="4">
        <f>IF(($B10+$C10)=0,0,$B10/($B10+$C10))</f>
        <v>0</v>
      </c>
      <c r="G10" s="4">
        <f>IF(($B10+$D10)=0,0,$B10/($B10+$D10))</f>
        <v>0</v>
      </c>
      <c r="H10" s="4">
        <f>IF(($F10+$G10)=0,0,2*$F10*$G10/($F10+$G10))</f>
        <v>0</v>
      </c>
      <c r="I10" s="4">
        <f>IF(($C10+$E10)=0,0,$C10/($C10+$E10))</f>
        <v>0</v>
      </c>
    </row>
    <row r="11" spans="1:12">
      <c r="A11" s="4">
        <v>0.09</v>
      </c>
      <c r="B11">
        <f>COUNTIFS(data!$B$2:$B$100000,1,data!$F$2:$F$100000,"&gt;="&amp;$A11)</f>
        <v>0</v>
      </c>
      <c r="C11">
        <f>COUNTIFS(data!$B$2:$B$100000,0,data!$F$2:$F$100000,"&gt;="&amp;$A11)</f>
        <v>0</v>
      </c>
      <c r="D11">
        <f>COUNTIFS(data!$B$2:$B$100000,1,data!$F$2:$F$100000,"&lt;"&amp;$A11)</f>
        <v>0</v>
      </c>
      <c r="E11">
        <f>COUNTIFS(data!$B$2:$B$100000,0,data!$F$2:$F$100000,"&lt;"&amp;$A11)</f>
        <v>0</v>
      </c>
      <c r="F11" s="4">
        <f>IF(($B11+$C11)=0,0,$B11/($B11+$C11))</f>
        <v>0</v>
      </c>
      <c r="G11" s="4">
        <f>IF(($B11+$D11)=0,0,$B11/($B11+$D11))</f>
        <v>0</v>
      </c>
      <c r="H11" s="4">
        <f>IF(($F11+$G11)=0,0,2*$F11*$G11/($F11+$G11))</f>
        <v>0</v>
      </c>
      <c r="I11" s="4">
        <f>IF(($C11+$E11)=0,0,$C11/($C11+$E11))</f>
        <v>0</v>
      </c>
    </row>
    <row r="12" spans="1:12">
      <c r="A12" s="4">
        <v>0.1</v>
      </c>
      <c r="B12">
        <f>COUNTIFS(data!$B$2:$B$100000,1,data!$F$2:$F$100000,"&gt;="&amp;$A12)</f>
        <v>0</v>
      </c>
      <c r="C12">
        <f>COUNTIFS(data!$B$2:$B$100000,0,data!$F$2:$F$100000,"&gt;="&amp;$A12)</f>
        <v>0</v>
      </c>
      <c r="D12">
        <f>COUNTIFS(data!$B$2:$B$100000,1,data!$F$2:$F$100000,"&lt;"&amp;$A12)</f>
        <v>0</v>
      </c>
      <c r="E12">
        <f>COUNTIFS(data!$B$2:$B$100000,0,data!$F$2:$F$100000,"&lt;"&amp;$A12)</f>
        <v>0</v>
      </c>
      <c r="F12" s="4">
        <f>IF(($B12+$C12)=0,0,$B12/($B12+$C12))</f>
        <v>0</v>
      </c>
      <c r="G12" s="4">
        <f>IF(($B12+$D12)=0,0,$B12/($B12+$D12))</f>
        <v>0</v>
      </c>
      <c r="H12" s="4">
        <f>IF(($F12+$G12)=0,0,2*$F12*$G12/($F12+$G12))</f>
        <v>0</v>
      </c>
      <c r="I12" s="4">
        <f>IF(($C12+$E12)=0,0,$C12/($C12+$E12))</f>
        <v>0</v>
      </c>
    </row>
    <row r="13" spans="1:12">
      <c r="A13" s="4">
        <v>0.11</v>
      </c>
      <c r="B13">
        <f>COUNTIFS(data!$B$2:$B$100000,1,data!$F$2:$F$100000,"&gt;="&amp;$A13)</f>
        <v>0</v>
      </c>
      <c r="C13">
        <f>COUNTIFS(data!$B$2:$B$100000,0,data!$F$2:$F$100000,"&gt;="&amp;$A13)</f>
        <v>0</v>
      </c>
      <c r="D13">
        <f>COUNTIFS(data!$B$2:$B$100000,1,data!$F$2:$F$100000,"&lt;"&amp;$A13)</f>
        <v>0</v>
      </c>
      <c r="E13">
        <f>COUNTIFS(data!$B$2:$B$100000,0,data!$F$2:$F$100000,"&lt;"&amp;$A13)</f>
        <v>0</v>
      </c>
      <c r="F13" s="4">
        <f>IF(($B13+$C13)=0,0,$B13/($B13+$C13))</f>
        <v>0</v>
      </c>
      <c r="G13" s="4">
        <f>IF(($B13+$D13)=0,0,$B13/($B13+$D13))</f>
        <v>0</v>
      </c>
      <c r="H13" s="4">
        <f>IF(($F13+$G13)=0,0,2*$F13*$G13/($F13+$G13))</f>
        <v>0</v>
      </c>
      <c r="I13" s="4">
        <f>IF(($C13+$E13)=0,0,$C13/($C13+$E13))</f>
        <v>0</v>
      </c>
    </row>
    <row r="14" spans="1:12">
      <c r="A14" s="4">
        <v>0.12</v>
      </c>
      <c r="B14">
        <f>COUNTIFS(data!$B$2:$B$100000,1,data!$F$2:$F$100000,"&gt;="&amp;$A14)</f>
        <v>0</v>
      </c>
      <c r="C14">
        <f>COUNTIFS(data!$B$2:$B$100000,0,data!$F$2:$F$100000,"&gt;="&amp;$A14)</f>
        <v>0</v>
      </c>
      <c r="D14">
        <f>COUNTIFS(data!$B$2:$B$100000,1,data!$F$2:$F$100000,"&lt;"&amp;$A14)</f>
        <v>0</v>
      </c>
      <c r="E14">
        <f>COUNTIFS(data!$B$2:$B$100000,0,data!$F$2:$F$100000,"&lt;"&amp;$A14)</f>
        <v>0</v>
      </c>
      <c r="F14" s="4">
        <f>IF(($B14+$C14)=0,0,$B14/($B14+$C14))</f>
        <v>0</v>
      </c>
      <c r="G14" s="4">
        <f>IF(($B14+$D14)=0,0,$B14/($B14+$D14))</f>
        <v>0</v>
      </c>
      <c r="H14" s="4">
        <f>IF(($F14+$G14)=0,0,2*$F14*$G14/($F14+$G14))</f>
        <v>0</v>
      </c>
      <c r="I14" s="4">
        <f>IF(($C14+$E14)=0,0,$C14/($C14+$E14))</f>
        <v>0</v>
      </c>
    </row>
    <row r="15" spans="1:12">
      <c r="A15" s="4">
        <v>0.13</v>
      </c>
      <c r="B15">
        <f>COUNTIFS(data!$B$2:$B$100000,1,data!$F$2:$F$100000,"&gt;="&amp;$A15)</f>
        <v>0</v>
      </c>
      <c r="C15">
        <f>COUNTIFS(data!$B$2:$B$100000,0,data!$F$2:$F$100000,"&gt;="&amp;$A15)</f>
        <v>0</v>
      </c>
      <c r="D15">
        <f>COUNTIFS(data!$B$2:$B$100000,1,data!$F$2:$F$100000,"&lt;"&amp;$A15)</f>
        <v>0</v>
      </c>
      <c r="E15">
        <f>COUNTIFS(data!$B$2:$B$100000,0,data!$F$2:$F$100000,"&lt;"&amp;$A15)</f>
        <v>0</v>
      </c>
      <c r="F15" s="4">
        <f>IF(($B15+$C15)=0,0,$B15/($B15+$C15))</f>
        <v>0</v>
      </c>
      <c r="G15" s="4">
        <f>IF(($B15+$D15)=0,0,$B15/($B15+$D15))</f>
        <v>0</v>
      </c>
      <c r="H15" s="4">
        <f>IF(($F15+$G15)=0,0,2*$F15*$G15/($F15+$G15))</f>
        <v>0</v>
      </c>
      <c r="I15" s="4">
        <f>IF(($C15+$E15)=0,0,$C15/($C15+$E15))</f>
        <v>0</v>
      </c>
    </row>
    <row r="16" spans="1:12">
      <c r="A16" s="4">
        <v>0.14</v>
      </c>
      <c r="B16">
        <f>COUNTIFS(data!$B$2:$B$100000,1,data!$F$2:$F$100000,"&gt;="&amp;$A16)</f>
        <v>0</v>
      </c>
      <c r="C16">
        <f>COUNTIFS(data!$B$2:$B$100000,0,data!$F$2:$F$100000,"&gt;="&amp;$A16)</f>
        <v>0</v>
      </c>
      <c r="D16">
        <f>COUNTIFS(data!$B$2:$B$100000,1,data!$F$2:$F$100000,"&lt;"&amp;$A16)</f>
        <v>0</v>
      </c>
      <c r="E16">
        <f>COUNTIFS(data!$B$2:$B$100000,0,data!$F$2:$F$100000,"&lt;"&amp;$A16)</f>
        <v>0</v>
      </c>
      <c r="F16" s="4">
        <f>IF(($B16+$C16)=0,0,$B16/($B16+$C16))</f>
        <v>0</v>
      </c>
      <c r="G16" s="4">
        <f>IF(($B16+$D16)=0,0,$B16/($B16+$D16))</f>
        <v>0</v>
      </c>
      <c r="H16" s="4">
        <f>IF(($F16+$G16)=0,0,2*$F16*$G16/($F16+$G16))</f>
        <v>0</v>
      </c>
      <c r="I16" s="4">
        <f>IF(($C16+$E16)=0,0,$C16/($C16+$E16))</f>
        <v>0</v>
      </c>
    </row>
    <row r="17" spans="1:9">
      <c r="A17" s="4">
        <v>0.15</v>
      </c>
      <c r="B17">
        <f>COUNTIFS(data!$B$2:$B$100000,1,data!$F$2:$F$100000,"&gt;="&amp;$A17)</f>
        <v>0</v>
      </c>
      <c r="C17">
        <f>COUNTIFS(data!$B$2:$B$100000,0,data!$F$2:$F$100000,"&gt;="&amp;$A17)</f>
        <v>0</v>
      </c>
      <c r="D17">
        <f>COUNTIFS(data!$B$2:$B$100000,1,data!$F$2:$F$100000,"&lt;"&amp;$A17)</f>
        <v>0</v>
      </c>
      <c r="E17">
        <f>COUNTIFS(data!$B$2:$B$100000,0,data!$F$2:$F$100000,"&lt;"&amp;$A17)</f>
        <v>0</v>
      </c>
      <c r="F17" s="4">
        <f>IF(($B17+$C17)=0,0,$B17/($B17+$C17))</f>
        <v>0</v>
      </c>
      <c r="G17" s="4">
        <f>IF(($B17+$D17)=0,0,$B17/($B17+$D17))</f>
        <v>0</v>
      </c>
      <c r="H17" s="4">
        <f>IF(($F17+$G17)=0,0,2*$F17*$G17/($F17+$G17))</f>
        <v>0</v>
      </c>
      <c r="I17" s="4">
        <f>IF(($C17+$E17)=0,0,$C17/($C17+$E17))</f>
        <v>0</v>
      </c>
    </row>
    <row r="18" spans="1:9">
      <c r="A18" s="4">
        <v>0.16</v>
      </c>
      <c r="B18">
        <f>COUNTIFS(data!$B$2:$B$100000,1,data!$F$2:$F$100000,"&gt;="&amp;$A18)</f>
        <v>0</v>
      </c>
      <c r="C18">
        <f>COUNTIFS(data!$B$2:$B$100000,0,data!$F$2:$F$100000,"&gt;="&amp;$A18)</f>
        <v>0</v>
      </c>
      <c r="D18">
        <f>COUNTIFS(data!$B$2:$B$100000,1,data!$F$2:$F$100000,"&lt;"&amp;$A18)</f>
        <v>0</v>
      </c>
      <c r="E18">
        <f>COUNTIFS(data!$B$2:$B$100000,0,data!$F$2:$F$100000,"&lt;"&amp;$A18)</f>
        <v>0</v>
      </c>
      <c r="F18" s="4">
        <f>IF(($B18+$C18)=0,0,$B18/($B18+$C18))</f>
        <v>0</v>
      </c>
      <c r="G18" s="4">
        <f>IF(($B18+$D18)=0,0,$B18/($B18+$D18))</f>
        <v>0</v>
      </c>
      <c r="H18" s="4">
        <f>IF(($F18+$G18)=0,0,2*$F18*$G18/($F18+$G18))</f>
        <v>0</v>
      </c>
      <c r="I18" s="4">
        <f>IF(($C18+$E18)=0,0,$C18/($C18+$E18))</f>
        <v>0</v>
      </c>
    </row>
    <row r="19" spans="1:9">
      <c r="A19" s="4">
        <v>0.17</v>
      </c>
      <c r="B19">
        <f>COUNTIFS(data!$B$2:$B$100000,1,data!$F$2:$F$100000,"&gt;="&amp;$A19)</f>
        <v>0</v>
      </c>
      <c r="C19">
        <f>COUNTIFS(data!$B$2:$B$100000,0,data!$F$2:$F$100000,"&gt;="&amp;$A19)</f>
        <v>0</v>
      </c>
      <c r="D19">
        <f>COUNTIFS(data!$B$2:$B$100000,1,data!$F$2:$F$100000,"&lt;"&amp;$A19)</f>
        <v>0</v>
      </c>
      <c r="E19">
        <f>COUNTIFS(data!$B$2:$B$100000,0,data!$F$2:$F$100000,"&lt;"&amp;$A19)</f>
        <v>0</v>
      </c>
      <c r="F19" s="4">
        <f>IF(($B19+$C19)=0,0,$B19/($B19+$C19))</f>
        <v>0</v>
      </c>
      <c r="G19" s="4">
        <f>IF(($B19+$D19)=0,0,$B19/($B19+$D19))</f>
        <v>0</v>
      </c>
      <c r="H19" s="4">
        <f>IF(($F19+$G19)=0,0,2*$F19*$G19/($F19+$G19))</f>
        <v>0</v>
      </c>
      <c r="I19" s="4">
        <f>IF(($C19+$E19)=0,0,$C19/($C19+$E19))</f>
        <v>0</v>
      </c>
    </row>
    <row r="20" spans="1:9">
      <c r="A20" s="4">
        <v>0.18</v>
      </c>
      <c r="B20">
        <f>COUNTIFS(data!$B$2:$B$100000,1,data!$F$2:$F$100000,"&gt;="&amp;$A20)</f>
        <v>0</v>
      </c>
      <c r="C20">
        <f>COUNTIFS(data!$B$2:$B$100000,0,data!$F$2:$F$100000,"&gt;="&amp;$A20)</f>
        <v>0</v>
      </c>
      <c r="D20">
        <f>COUNTIFS(data!$B$2:$B$100000,1,data!$F$2:$F$100000,"&lt;"&amp;$A20)</f>
        <v>0</v>
      </c>
      <c r="E20">
        <f>COUNTIFS(data!$B$2:$B$100000,0,data!$F$2:$F$100000,"&lt;"&amp;$A20)</f>
        <v>0</v>
      </c>
      <c r="F20" s="4">
        <f>IF(($B20+$C20)=0,0,$B20/($B20+$C20))</f>
        <v>0</v>
      </c>
      <c r="G20" s="4">
        <f>IF(($B20+$D20)=0,0,$B20/($B20+$D20))</f>
        <v>0</v>
      </c>
      <c r="H20" s="4">
        <f>IF(($F20+$G20)=0,0,2*$F20*$G20/($F20+$G20))</f>
        <v>0</v>
      </c>
      <c r="I20" s="4">
        <f>IF(($C20+$E20)=0,0,$C20/($C20+$E20))</f>
        <v>0</v>
      </c>
    </row>
    <row r="21" spans="1:9">
      <c r="A21" s="4">
        <v>0.19</v>
      </c>
      <c r="B21">
        <f>COUNTIFS(data!$B$2:$B$100000,1,data!$F$2:$F$100000,"&gt;="&amp;$A21)</f>
        <v>0</v>
      </c>
      <c r="C21">
        <f>COUNTIFS(data!$B$2:$B$100000,0,data!$F$2:$F$100000,"&gt;="&amp;$A21)</f>
        <v>0</v>
      </c>
      <c r="D21">
        <f>COUNTIFS(data!$B$2:$B$100000,1,data!$F$2:$F$100000,"&lt;"&amp;$A21)</f>
        <v>0</v>
      </c>
      <c r="E21">
        <f>COUNTIFS(data!$B$2:$B$100000,0,data!$F$2:$F$100000,"&lt;"&amp;$A21)</f>
        <v>0</v>
      </c>
      <c r="F21" s="4">
        <f>IF(($B21+$C21)=0,0,$B21/($B21+$C21))</f>
        <v>0</v>
      </c>
      <c r="G21" s="4">
        <f>IF(($B21+$D21)=0,0,$B21/($B21+$D21))</f>
        <v>0</v>
      </c>
      <c r="H21" s="4">
        <f>IF(($F21+$G21)=0,0,2*$F21*$G21/($F21+$G21))</f>
        <v>0</v>
      </c>
      <c r="I21" s="4">
        <f>IF(($C21+$E21)=0,0,$C21/($C21+$E21))</f>
        <v>0</v>
      </c>
    </row>
    <row r="22" spans="1:9">
      <c r="A22" s="4">
        <v>0.2</v>
      </c>
      <c r="B22">
        <f>COUNTIFS(data!$B$2:$B$100000,1,data!$F$2:$F$100000,"&gt;="&amp;$A22)</f>
        <v>0</v>
      </c>
      <c r="C22">
        <f>COUNTIFS(data!$B$2:$B$100000,0,data!$F$2:$F$100000,"&gt;="&amp;$A22)</f>
        <v>0</v>
      </c>
      <c r="D22">
        <f>COUNTIFS(data!$B$2:$B$100000,1,data!$F$2:$F$100000,"&lt;"&amp;$A22)</f>
        <v>0</v>
      </c>
      <c r="E22">
        <f>COUNTIFS(data!$B$2:$B$100000,0,data!$F$2:$F$100000,"&lt;"&amp;$A22)</f>
        <v>0</v>
      </c>
      <c r="F22" s="4">
        <f>IF(($B22+$C22)=0,0,$B22/($B22+$C22))</f>
        <v>0</v>
      </c>
      <c r="G22" s="4">
        <f>IF(($B22+$D22)=0,0,$B22/($B22+$D22))</f>
        <v>0</v>
      </c>
      <c r="H22" s="4">
        <f>IF(($F22+$G22)=0,0,2*$F22*$G22/($F22+$G22))</f>
        <v>0</v>
      </c>
      <c r="I22" s="4">
        <f>IF(($C22+$E22)=0,0,$C22/($C22+$E22))</f>
        <v>0</v>
      </c>
    </row>
    <row r="23" spans="1:9">
      <c r="A23" s="4">
        <v>0.21</v>
      </c>
      <c r="B23">
        <f>COUNTIFS(data!$B$2:$B$100000,1,data!$F$2:$F$100000,"&gt;="&amp;$A23)</f>
        <v>0</v>
      </c>
      <c r="C23">
        <f>COUNTIFS(data!$B$2:$B$100000,0,data!$F$2:$F$100000,"&gt;="&amp;$A23)</f>
        <v>0</v>
      </c>
      <c r="D23">
        <f>COUNTIFS(data!$B$2:$B$100000,1,data!$F$2:$F$100000,"&lt;"&amp;$A23)</f>
        <v>0</v>
      </c>
      <c r="E23">
        <f>COUNTIFS(data!$B$2:$B$100000,0,data!$F$2:$F$100000,"&lt;"&amp;$A23)</f>
        <v>0</v>
      </c>
      <c r="F23" s="4">
        <f>IF(($B23+$C23)=0,0,$B23/($B23+$C23))</f>
        <v>0</v>
      </c>
      <c r="G23" s="4">
        <f>IF(($B23+$D23)=0,0,$B23/($B23+$D23))</f>
        <v>0</v>
      </c>
      <c r="H23" s="4">
        <f>IF(($F23+$G23)=0,0,2*$F23*$G23/($F23+$G23))</f>
        <v>0</v>
      </c>
      <c r="I23" s="4">
        <f>IF(($C23+$E23)=0,0,$C23/($C23+$E23))</f>
        <v>0</v>
      </c>
    </row>
    <row r="24" spans="1:9">
      <c r="A24" s="4">
        <v>0.22</v>
      </c>
      <c r="B24">
        <f>COUNTIFS(data!$B$2:$B$100000,1,data!$F$2:$F$100000,"&gt;="&amp;$A24)</f>
        <v>0</v>
      </c>
      <c r="C24">
        <f>COUNTIFS(data!$B$2:$B$100000,0,data!$F$2:$F$100000,"&gt;="&amp;$A24)</f>
        <v>0</v>
      </c>
      <c r="D24">
        <f>COUNTIFS(data!$B$2:$B$100000,1,data!$F$2:$F$100000,"&lt;"&amp;$A24)</f>
        <v>0</v>
      </c>
      <c r="E24">
        <f>COUNTIFS(data!$B$2:$B$100000,0,data!$F$2:$F$100000,"&lt;"&amp;$A24)</f>
        <v>0</v>
      </c>
      <c r="F24" s="4">
        <f>IF(($B24+$C24)=0,0,$B24/($B24+$C24))</f>
        <v>0</v>
      </c>
      <c r="G24" s="4">
        <f>IF(($B24+$D24)=0,0,$B24/($B24+$D24))</f>
        <v>0</v>
      </c>
      <c r="H24" s="4">
        <f>IF(($F24+$G24)=0,0,2*$F24*$G24/($F24+$G24))</f>
        <v>0</v>
      </c>
      <c r="I24" s="4">
        <f>IF(($C24+$E24)=0,0,$C24/($C24+$E24))</f>
        <v>0</v>
      </c>
    </row>
    <row r="25" spans="1:9">
      <c r="A25" s="4">
        <v>0.23</v>
      </c>
      <c r="B25">
        <f>COUNTIFS(data!$B$2:$B$100000,1,data!$F$2:$F$100000,"&gt;="&amp;$A25)</f>
        <v>0</v>
      </c>
      <c r="C25">
        <f>COUNTIFS(data!$B$2:$B$100000,0,data!$F$2:$F$100000,"&gt;="&amp;$A25)</f>
        <v>0</v>
      </c>
      <c r="D25">
        <f>COUNTIFS(data!$B$2:$B$100000,1,data!$F$2:$F$100000,"&lt;"&amp;$A25)</f>
        <v>0</v>
      </c>
      <c r="E25">
        <f>COUNTIFS(data!$B$2:$B$100000,0,data!$F$2:$F$100000,"&lt;"&amp;$A25)</f>
        <v>0</v>
      </c>
      <c r="F25" s="4">
        <f>IF(($B25+$C25)=0,0,$B25/($B25+$C25))</f>
        <v>0</v>
      </c>
      <c r="G25" s="4">
        <f>IF(($B25+$D25)=0,0,$B25/($B25+$D25))</f>
        <v>0</v>
      </c>
      <c r="H25" s="4">
        <f>IF(($F25+$G25)=0,0,2*$F25*$G25/($F25+$G25))</f>
        <v>0</v>
      </c>
      <c r="I25" s="4">
        <f>IF(($C25+$E25)=0,0,$C25/($C25+$E25))</f>
        <v>0</v>
      </c>
    </row>
    <row r="26" spans="1:9">
      <c r="A26" s="4">
        <v>0.24</v>
      </c>
      <c r="B26">
        <f>COUNTIFS(data!$B$2:$B$100000,1,data!$F$2:$F$100000,"&gt;="&amp;$A26)</f>
        <v>0</v>
      </c>
      <c r="C26">
        <f>COUNTIFS(data!$B$2:$B$100000,0,data!$F$2:$F$100000,"&gt;="&amp;$A26)</f>
        <v>0</v>
      </c>
      <c r="D26">
        <f>COUNTIFS(data!$B$2:$B$100000,1,data!$F$2:$F$100000,"&lt;"&amp;$A26)</f>
        <v>0</v>
      </c>
      <c r="E26">
        <f>COUNTIFS(data!$B$2:$B$100000,0,data!$F$2:$F$100000,"&lt;"&amp;$A26)</f>
        <v>0</v>
      </c>
      <c r="F26" s="4">
        <f>IF(($B26+$C26)=0,0,$B26/($B26+$C26))</f>
        <v>0</v>
      </c>
      <c r="G26" s="4">
        <f>IF(($B26+$D26)=0,0,$B26/($B26+$D26))</f>
        <v>0</v>
      </c>
      <c r="H26" s="4">
        <f>IF(($F26+$G26)=0,0,2*$F26*$G26/($F26+$G26))</f>
        <v>0</v>
      </c>
      <c r="I26" s="4">
        <f>IF(($C26+$E26)=0,0,$C26/($C26+$E26))</f>
        <v>0</v>
      </c>
    </row>
    <row r="27" spans="1:9">
      <c r="A27" s="4">
        <v>0.25</v>
      </c>
      <c r="B27">
        <f>COUNTIFS(data!$B$2:$B$100000,1,data!$F$2:$F$100000,"&gt;="&amp;$A27)</f>
        <v>0</v>
      </c>
      <c r="C27">
        <f>COUNTIFS(data!$B$2:$B$100000,0,data!$F$2:$F$100000,"&gt;="&amp;$A27)</f>
        <v>0</v>
      </c>
      <c r="D27">
        <f>COUNTIFS(data!$B$2:$B$100000,1,data!$F$2:$F$100000,"&lt;"&amp;$A27)</f>
        <v>0</v>
      </c>
      <c r="E27">
        <f>COUNTIFS(data!$B$2:$B$100000,0,data!$F$2:$F$100000,"&lt;"&amp;$A27)</f>
        <v>0</v>
      </c>
      <c r="F27" s="4">
        <f>IF(($B27+$C27)=0,0,$B27/($B27+$C27))</f>
        <v>0</v>
      </c>
      <c r="G27" s="4">
        <f>IF(($B27+$D27)=0,0,$B27/($B27+$D27))</f>
        <v>0</v>
      </c>
      <c r="H27" s="4">
        <f>IF(($F27+$G27)=0,0,2*$F27*$G27/($F27+$G27))</f>
        <v>0</v>
      </c>
      <c r="I27" s="4">
        <f>IF(($C27+$E27)=0,0,$C27/($C27+$E27))</f>
        <v>0</v>
      </c>
    </row>
    <row r="28" spans="1:9">
      <c r="A28" s="4">
        <v>0.26</v>
      </c>
      <c r="B28">
        <f>COUNTIFS(data!$B$2:$B$100000,1,data!$F$2:$F$100000,"&gt;="&amp;$A28)</f>
        <v>0</v>
      </c>
      <c r="C28">
        <f>COUNTIFS(data!$B$2:$B$100000,0,data!$F$2:$F$100000,"&gt;="&amp;$A28)</f>
        <v>0</v>
      </c>
      <c r="D28">
        <f>COUNTIFS(data!$B$2:$B$100000,1,data!$F$2:$F$100000,"&lt;"&amp;$A28)</f>
        <v>0</v>
      </c>
      <c r="E28">
        <f>COUNTIFS(data!$B$2:$B$100000,0,data!$F$2:$F$100000,"&lt;"&amp;$A28)</f>
        <v>0</v>
      </c>
      <c r="F28" s="4">
        <f>IF(($B28+$C28)=0,0,$B28/($B28+$C28))</f>
        <v>0</v>
      </c>
      <c r="G28" s="4">
        <f>IF(($B28+$D28)=0,0,$B28/($B28+$D28))</f>
        <v>0</v>
      </c>
      <c r="H28" s="4">
        <f>IF(($F28+$G28)=0,0,2*$F28*$G28/($F28+$G28))</f>
        <v>0</v>
      </c>
      <c r="I28" s="4">
        <f>IF(($C28+$E28)=0,0,$C28/($C28+$E28))</f>
        <v>0</v>
      </c>
    </row>
    <row r="29" spans="1:9">
      <c r="A29" s="4">
        <v>0.27</v>
      </c>
      <c r="B29">
        <f>COUNTIFS(data!$B$2:$B$100000,1,data!$F$2:$F$100000,"&gt;="&amp;$A29)</f>
        <v>0</v>
      </c>
      <c r="C29">
        <f>COUNTIFS(data!$B$2:$B$100000,0,data!$F$2:$F$100000,"&gt;="&amp;$A29)</f>
        <v>0</v>
      </c>
      <c r="D29">
        <f>COUNTIFS(data!$B$2:$B$100000,1,data!$F$2:$F$100000,"&lt;"&amp;$A29)</f>
        <v>0</v>
      </c>
      <c r="E29">
        <f>COUNTIFS(data!$B$2:$B$100000,0,data!$F$2:$F$100000,"&lt;"&amp;$A29)</f>
        <v>0</v>
      </c>
      <c r="F29" s="4">
        <f>IF(($B29+$C29)=0,0,$B29/($B29+$C29))</f>
        <v>0</v>
      </c>
      <c r="G29" s="4">
        <f>IF(($B29+$D29)=0,0,$B29/($B29+$D29))</f>
        <v>0</v>
      </c>
      <c r="H29" s="4">
        <f>IF(($F29+$G29)=0,0,2*$F29*$G29/($F29+$G29))</f>
        <v>0</v>
      </c>
      <c r="I29" s="4">
        <f>IF(($C29+$E29)=0,0,$C29/($C29+$E29))</f>
        <v>0</v>
      </c>
    </row>
    <row r="30" spans="1:9">
      <c r="A30" s="4">
        <v>0.28</v>
      </c>
      <c r="B30">
        <f>COUNTIFS(data!$B$2:$B$100000,1,data!$F$2:$F$100000,"&gt;="&amp;$A30)</f>
        <v>0</v>
      </c>
      <c r="C30">
        <f>COUNTIFS(data!$B$2:$B$100000,0,data!$F$2:$F$100000,"&gt;="&amp;$A30)</f>
        <v>0</v>
      </c>
      <c r="D30">
        <f>COUNTIFS(data!$B$2:$B$100000,1,data!$F$2:$F$100000,"&lt;"&amp;$A30)</f>
        <v>0</v>
      </c>
      <c r="E30">
        <f>COUNTIFS(data!$B$2:$B$100000,0,data!$F$2:$F$100000,"&lt;"&amp;$A30)</f>
        <v>0</v>
      </c>
      <c r="F30" s="4">
        <f>IF(($B30+$C30)=0,0,$B30/($B30+$C30))</f>
        <v>0</v>
      </c>
      <c r="G30" s="4">
        <f>IF(($B30+$D30)=0,0,$B30/($B30+$D30))</f>
        <v>0</v>
      </c>
      <c r="H30" s="4">
        <f>IF(($F30+$G30)=0,0,2*$F30*$G30/($F30+$G30))</f>
        <v>0</v>
      </c>
      <c r="I30" s="4">
        <f>IF(($C30+$E30)=0,0,$C30/($C30+$E30))</f>
        <v>0</v>
      </c>
    </row>
    <row r="31" spans="1:9">
      <c r="A31" s="4">
        <v>0.29</v>
      </c>
      <c r="B31">
        <f>COUNTIFS(data!$B$2:$B$100000,1,data!$F$2:$F$100000,"&gt;="&amp;$A31)</f>
        <v>0</v>
      </c>
      <c r="C31">
        <f>COUNTIFS(data!$B$2:$B$100000,0,data!$F$2:$F$100000,"&gt;="&amp;$A31)</f>
        <v>0</v>
      </c>
      <c r="D31">
        <f>COUNTIFS(data!$B$2:$B$100000,1,data!$F$2:$F$100000,"&lt;"&amp;$A31)</f>
        <v>0</v>
      </c>
      <c r="E31">
        <f>COUNTIFS(data!$B$2:$B$100000,0,data!$F$2:$F$100000,"&lt;"&amp;$A31)</f>
        <v>0</v>
      </c>
      <c r="F31" s="4">
        <f>IF(($B31+$C31)=0,0,$B31/($B31+$C31))</f>
        <v>0</v>
      </c>
      <c r="G31" s="4">
        <f>IF(($B31+$D31)=0,0,$B31/($B31+$D31))</f>
        <v>0</v>
      </c>
      <c r="H31" s="4">
        <f>IF(($F31+$G31)=0,0,2*$F31*$G31/($F31+$G31))</f>
        <v>0</v>
      </c>
      <c r="I31" s="4">
        <f>IF(($C31+$E31)=0,0,$C31/($C31+$E31))</f>
        <v>0</v>
      </c>
    </row>
    <row r="32" spans="1:9">
      <c r="A32" s="4">
        <v>0.3</v>
      </c>
      <c r="B32">
        <f>COUNTIFS(data!$B$2:$B$100000,1,data!$F$2:$F$100000,"&gt;="&amp;$A32)</f>
        <v>0</v>
      </c>
      <c r="C32">
        <f>COUNTIFS(data!$B$2:$B$100000,0,data!$F$2:$F$100000,"&gt;="&amp;$A32)</f>
        <v>0</v>
      </c>
      <c r="D32">
        <f>COUNTIFS(data!$B$2:$B$100000,1,data!$F$2:$F$100000,"&lt;"&amp;$A32)</f>
        <v>0</v>
      </c>
      <c r="E32">
        <f>COUNTIFS(data!$B$2:$B$100000,0,data!$F$2:$F$100000,"&lt;"&amp;$A32)</f>
        <v>0</v>
      </c>
      <c r="F32" s="4">
        <f>IF(($B32+$C32)=0,0,$B32/($B32+$C32))</f>
        <v>0</v>
      </c>
      <c r="G32" s="4">
        <f>IF(($B32+$D32)=0,0,$B32/($B32+$D32))</f>
        <v>0</v>
      </c>
      <c r="H32" s="4">
        <f>IF(($F32+$G32)=0,0,2*$F32*$G32/($F32+$G32))</f>
        <v>0</v>
      </c>
      <c r="I32" s="4">
        <f>IF(($C32+$E32)=0,0,$C32/($C32+$E32))</f>
        <v>0</v>
      </c>
    </row>
    <row r="33" spans="1:9">
      <c r="A33" s="4">
        <v>0.31</v>
      </c>
      <c r="B33">
        <f>COUNTIFS(data!$B$2:$B$100000,1,data!$F$2:$F$100000,"&gt;="&amp;$A33)</f>
        <v>0</v>
      </c>
      <c r="C33">
        <f>COUNTIFS(data!$B$2:$B$100000,0,data!$F$2:$F$100000,"&gt;="&amp;$A33)</f>
        <v>0</v>
      </c>
      <c r="D33">
        <f>COUNTIFS(data!$B$2:$B$100000,1,data!$F$2:$F$100000,"&lt;"&amp;$A33)</f>
        <v>0</v>
      </c>
      <c r="E33">
        <f>COUNTIFS(data!$B$2:$B$100000,0,data!$F$2:$F$100000,"&lt;"&amp;$A33)</f>
        <v>0</v>
      </c>
      <c r="F33" s="4">
        <f>IF(($B33+$C33)=0,0,$B33/($B33+$C33))</f>
        <v>0</v>
      </c>
      <c r="G33" s="4">
        <f>IF(($B33+$D33)=0,0,$B33/($B33+$D33))</f>
        <v>0</v>
      </c>
      <c r="H33" s="4">
        <f>IF(($F33+$G33)=0,0,2*$F33*$G33/($F33+$G33))</f>
        <v>0</v>
      </c>
      <c r="I33" s="4">
        <f>IF(($C33+$E33)=0,0,$C33/($C33+$E33))</f>
        <v>0</v>
      </c>
    </row>
    <row r="34" spans="1:9">
      <c r="A34" s="4">
        <v>0.32</v>
      </c>
      <c r="B34">
        <f>COUNTIFS(data!$B$2:$B$100000,1,data!$F$2:$F$100000,"&gt;="&amp;$A34)</f>
        <v>0</v>
      </c>
      <c r="C34">
        <f>COUNTIFS(data!$B$2:$B$100000,0,data!$F$2:$F$100000,"&gt;="&amp;$A34)</f>
        <v>0</v>
      </c>
      <c r="D34">
        <f>COUNTIFS(data!$B$2:$B$100000,1,data!$F$2:$F$100000,"&lt;"&amp;$A34)</f>
        <v>0</v>
      </c>
      <c r="E34">
        <f>COUNTIFS(data!$B$2:$B$100000,0,data!$F$2:$F$100000,"&lt;"&amp;$A34)</f>
        <v>0</v>
      </c>
      <c r="F34" s="4">
        <f>IF(($B34+$C34)=0,0,$B34/($B34+$C34))</f>
        <v>0</v>
      </c>
      <c r="G34" s="4">
        <f>IF(($B34+$D34)=0,0,$B34/($B34+$D34))</f>
        <v>0</v>
      </c>
      <c r="H34" s="4">
        <f>IF(($F34+$G34)=0,0,2*$F34*$G34/($F34+$G34))</f>
        <v>0</v>
      </c>
      <c r="I34" s="4">
        <f>IF(($C34+$E34)=0,0,$C34/($C34+$E34))</f>
        <v>0</v>
      </c>
    </row>
    <row r="35" spans="1:9">
      <c r="A35" s="4">
        <v>0.33</v>
      </c>
      <c r="B35">
        <f>COUNTIFS(data!$B$2:$B$100000,1,data!$F$2:$F$100000,"&gt;="&amp;$A35)</f>
        <v>0</v>
      </c>
      <c r="C35">
        <f>COUNTIFS(data!$B$2:$B$100000,0,data!$F$2:$F$100000,"&gt;="&amp;$A35)</f>
        <v>0</v>
      </c>
      <c r="D35">
        <f>COUNTIFS(data!$B$2:$B$100000,1,data!$F$2:$F$100000,"&lt;"&amp;$A35)</f>
        <v>0</v>
      </c>
      <c r="E35">
        <f>COUNTIFS(data!$B$2:$B$100000,0,data!$F$2:$F$100000,"&lt;"&amp;$A35)</f>
        <v>0</v>
      </c>
      <c r="F35" s="4">
        <f>IF(($B35+$C35)=0,0,$B35/($B35+$C35))</f>
        <v>0</v>
      </c>
      <c r="G35" s="4">
        <f>IF(($B35+$D35)=0,0,$B35/($B35+$D35))</f>
        <v>0</v>
      </c>
      <c r="H35" s="4">
        <f>IF(($F35+$G35)=0,0,2*$F35*$G35/($F35+$G35))</f>
        <v>0</v>
      </c>
      <c r="I35" s="4">
        <f>IF(($C35+$E35)=0,0,$C35/($C35+$E35))</f>
        <v>0</v>
      </c>
    </row>
    <row r="36" spans="1:9">
      <c r="A36" s="4">
        <v>0.34</v>
      </c>
      <c r="B36">
        <f>COUNTIFS(data!$B$2:$B$100000,1,data!$F$2:$F$100000,"&gt;="&amp;$A36)</f>
        <v>0</v>
      </c>
      <c r="C36">
        <f>COUNTIFS(data!$B$2:$B$100000,0,data!$F$2:$F$100000,"&gt;="&amp;$A36)</f>
        <v>0</v>
      </c>
      <c r="D36">
        <f>COUNTIFS(data!$B$2:$B$100000,1,data!$F$2:$F$100000,"&lt;"&amp;$A36)</f>
        <v>0</v>
      </c>
      <c r="E36">
        <f>COUNTIFS(data!$B$2:$B$100000,0,data!$F$2:$F$100000,"&lt;"&amp;$A36)</f>
        <v>0</v>
      </c>
      <c r="F36" s="4">
        <f>IF(($B36+$C36)=0,0,$B36/($B36+$C36))</f>
        <v>0</v>
      </c>
      <c r="G36" s="4">
        <f>IF(($B36+$D36)=0,0,$B36/($B36+$D36))</f>
        <v>0</v>
      </c>
      <c r="H36" s="4">
        <f>IF(($F36+$G36)=0,0,2*$F36*$G36/($F36+$G36))</f>
        <v>0</v>
      </c>
      <c r="I36" s="4">
        <f>IF(($C36+$E36)=0,0,$C36/($C36+$E36))</f>
        <v>0</v>
      </c>
    </row>
    <row r="37" spans="1:9">
      <c r="A37" s="4">
        <v>0.35</v>
      </c>
      <c r="B37">
        <f>COUNTIFS(data!$B$2:$B$100000,1,data!$F$2:$F$100000,"&gt;="&amp;$A37)</f>
        <v>0</v>
      </c>
      <c r="C37">
        <f>COUNTIFS(data!$B$2:$B$100000,0,data!$F$2:$F$100000,"&gt;="&amp;$A37)</f>
        <v>0</v>
      </c>
      <c r="D37">
        <f>COUNTIFS(data!$B$2:$B$100000,1,data!$F$2:$F$100000,"&lt;"&amp;$A37)</f>
        <v>0</v>
      </c>
      <c r="E37">
        <f>COUNTIFS(data!$B$2:$B$100000,0,data!$F$2:$F$100000,"&lt;"&amp;$A37)</f>
        <v>0</v>
      </c>
      <c r="F37" s="4">
        <f>IF(($B37+$C37)=0,0,$B37/($B37+$C37))</f>
        <v>0</v>
      </c>
      <c r="G37" s="4">
        <f>IF(($B37+$D37)=0,0,$B37/($B37+$D37))</f>
        <v>0</v>
      </c>
      <c r="H37" s="4">
        <f>IF(($F37+$G37)=0,0,2*$F37*$G37/($F37+$G37))</f>
        <v>0</v>
      </c>
      <c r="I37" s="4">
        <f>IF(($C37+$E37)=0,0,$C37/($C37+$E37))</f>
        <v>0</v>
      </c>
    </row>
    <row r="38" spans="1:9">
      <c r="A38" s="4">
        <v>0.36</v>
      </c>
      <c r="B38">
        <f>COUNTIFS(data!$B$2:$B$100000,1,data!$F$2:$F$100000,"&gt;="&amp;$A38)</f>
        <v>0</v>
      </c>
      <c r="C38">
        <f>COUNTIFS(data!$B$2:$B$100000,0,data!$F$2:$F$100000,"&gt;="&amp;$A38)</f>
        <v>0</v>
      </c>
      <c r="D38">
        <f>COUNTIFS(data!$B$2:$B$100000,1,data!$F$2:$F$100000,"&lt;"&amp;$A38)</f>
        <v>0</v>
      </c>
      <c r="E38">
        <f>COUNTIFS(data!$B$2:$B$100000,0,data!$F$2:$F$100000,"&lt;"&amp;$A38)</f>
        <v>0</v>
      </c>
      <c r="F38" s="4">
        <f>IF(($B38+$C38)=0,0,$B38/($B38+$C38))</f>
        <v>0</v>
      </c>
      <c r="G38" s="4">
        <f>IF(($B38+$D38)=0,0,$B38/($B38+$D38))</f>
        <v>0</v>
      </c>
      <c r="H38" s="4">
        <f>IF(($F38+$G38)=0,0,2*$F38*$G38/($F38+$G38))</f>
        <v>0</v>
      </c>
      <c r="I38" s="4">
        <f>IF(($C38+$E38)=0,0,$C38/($C38+$E38))</f>
        <v>0</v>
      </c>
    </row>
    <row r="39" spans="1:9">
      <c r="A39" s="4">
        <v>0.37</v>
      </c>
      <c r="B39">
        <f>COUNTIFS(data!$B$2:$B$100000,1,data!$F$2:$F$100000,"&gt;="&amp;$A39)</f>
        <v>0</v>
      </c>
      <c r="C39">
        <f>COUNTIFS(data!$B$2:$B$100000,0,data!$F$2:$F$100000,"&gt;="&amp;$A39)</f>
        <v>0</v>
      </c>
      <c r="D39">
        <f>COUNTIFS(data!$B$2:$B$100000,1,data!$F$2:$F$100000,"&lt;"&amp;$A39)</f>
        <v>0</v>
      </c>
      <c r="E39">
        <f>COUNTIFS(data!$B$2:$B$100000,0,data!$F$2:$F$100000,"&lt;"&amp;$A39)</f>
        <v>0</v>
      </c>
      <c r="F39" s="4">
        <f>IF(($B39+$C39)=0,0,$B39/($B39+$C39))</f>
        <v>0</v>
      </c>
      <c r="G39" s="4">
        <f>IF(($B39+$D39)=0,0,$B39/($B39+$D39))</f>
        <v>0</v>
      </c>
      <c r="H39" s="4">
        <f>IF(($F39+$G39)=0,0,2*$F39*$G39/($F39+$G39))</f>
        <v>0</v>
      </c>
      <c r="I39" s="4">
        <f>IF(($C39+$E39)=0,0,$C39/($C39+$E39))</f>
        <v>0</v>
      </c>
    </row>
    <row r="40" spans="1:9">
      <c r="A40" s="4">
        <v>0.38</v>
      </c>
      <c r="B40">
        <f>COUNTIFS(data!$B$2:$B$100000,1,data!$F$2:$F$100000,"&gt;="&amp;$A40)</f>
        <v>0</v>
      </c>
      <c r="C40">
        <f>COUNTIFS(data!$B$2:$B$100000,0,data!$F$2:$F$100000,"&gt;="&amp;$A40)</f>
        <v>0</v>
      </c>
      <c r="D40">
        <f>COUNTIFS(data!$B$2:$B$100000,1,data!$F$2:$F$100000,"&lt;"&amp;$A40)</f>
        <v>0</v>
      </c>
      <c r="E40">
        <f>COUNTIFS(data!$B$2:$B$100000,0,data!$F$2:$F$100000,"&lt;"&amp;$A40)</f>
        <v>0</v>
      </c>
      <c r="F40" s="4">
        <f>IF(($B40+$C40)=0,0,$B40/($B40+$C40))</f>
        <v>0</v>
      </c>
      <c r="G40" s="4">
        <f>IF(($B40+$D40)=0,0,$B40/($B40+$D40))</f>
        <v>0</v>
      </c>
      <c r="H40" s="4">
        <f>IF(($F40+$G40)=0,0,2*$F40*$G40/($F40+$G40))</f>
        <v>0</v>
      </c>
      <c r="I40" s="4">
        <f>IF(($C40+$E40)=0,0,$C40/($C40+$E40))</f>
        <v>0</v>
      </c>
    </row>
    <row r="41" spans="1:9">
      <c r="A41" s="4">
        <v>0.39</v>
      </c>
      <c r="B41">
        <f>COUNTIFS(data!$B$2:$B$100000,1,data!$F$2:$F$100000,"&gt;="&amp;$A41)</f>
        <v>0</v>
      </c>
      <c r="C41">
        <f>COUNTIFS(data!$B$2:$B$100000,0,data!$F$2:$F$100000,"&gt;="&amp;$A41)</f>
        <v>0</v>
      </c>
      <c r="D41">
        <f>COUNTIFS(data!$B$2:$B$100000,1,data!$F$2:$F$100000,"&lt;"&amp;$A41)</f>
        <v>0</v>
      </c>
      <c r="E41">
        <f>COUNTIFS(data!$B$2:$B$100000,0,data!$F$2:$F$100000,"&lt;"&amp;$A41)</f>
        <v>0</v>
      </c>
      <c r="F41" s="4">
        <f>IF(($B41+$C41)=0,0,$B41/($B41+$C41))</f>
        <v>0</v>
      </c>
      <c r="G41" s="4">
        <f>IF(($B41+$D41)=0,0,$B41/($B41+$D41))</f>
        <v>0</v>
      </c>
      <c r="H41" s="4">
        <f>IF(($F41+$G41)=0,0,2*$F41*$G41/($F41+$G41))</f>
        <v>0</v>
      </c>
      <c r="I41" s="4">
        <f>IF(($C41+$E41)=0,0,$C41/($C41+$E41))</f>
        <v>0</v>
      </c>
    </row>
    <row r="42" spans="1:9">
      <c r="A42" s="4">
        <v>0.4</v>
      </c>
      <c r="B42">
        <f>COUNTIFS(data!$B$2:$B$100000,1,data!$F$2:$F$100000,"&gt;="&amp;$A42)</f>
        <v>0</v>
      </c>
      <c r="C42">
        <f>COUNTIFS(data!$B$2:$B$100000,0,data!$F$2:$F$100000,"&gt;="&amp;$A42)</f>
        <v>0</v>
      </c>
      <c r="D42">
        <f>COUNTIFS(data!$B$2:$B$100000,1,data!$F$2:$F$100000,"&lt;"&amp;$A42)</f>
        <v>0</v>
      </c>
      <c r="E42">
        <f>COUNTIFS(data!$B$2:$B$100000,0,data!$F$2:$F$100000,"&lt;"&amp;$A42)</f>
        <v>0</v>
      </c>
      <c r="F42" s="4">
        <f>IF(($B42+$C42)=0,0,$B42/($B42+$C42))</f>
        <v>0</v>
      </c>
      <c r="G42" s="4">
        <f>IF(($B42+$D42)=0,0,$B42/($B42+$D42))</f>
        <v>0</v>
      </c>
      <c r="H42" s="4">
        <f>IF(($F42+$G42)=0,0,2*$F42*$G42/($F42+$G42))</f>
        <v>0</v>
      </c>
      <c r="I42" s="4">
        <f>IF(($C42+$E42)=0,0,$C42/($C42+$E42))</f>
        <v>0</v>
      </c>
    </row>
    <row r="43" spans="1:9">
      <c r="A43" s="4">
        <v>0.41</v>
      </c>
      <c r="B43">
        <f>COUNTIFS(data!$B$2:$B$100000,1,data!$F$2:$F$100000,"&gt;="&amp;$A43)</f>
        <v>0</v>
      </c>
      <c r="C43">
        <f>COUNTIFS(data!$B$2:$B$100000,0,data!$F$2:$F$100000,"&gt;="&amp;$A43)</f>
        <v>0</v>
      </c>
      <c r="D43">
        <f>COUNTIFS(data!$B$2:$B$100000,1,data!$F$2:$F$100000,"&lt;"&amp;$A43)</f>
        <v>0</v>
      </c>
      <c r="E43">
        <f>COUNTIFS(data!$B$2:$B$100000,0,data!$F$2:$F$100000,"&lt;"&amp;$A43)</f>
        <v>0</v>
      </c>
      <c r="F43" s="4">
        <f>IF(($B43+$C43)=0,0,$B43/($B43+$C43))</f>
        <v>0</v>
      </c>
      <c r="G43" s="4">
        <f>IF(($B43+$D43)=0,0,$B43/($B43+$D43))</f>
        <v>0</v>
      </c>
      <c r="H43" s="4">
        <f>IF(($F43+$G43)=0,0,2*$F43*$G43/($F43+$G43))</f>
        <v>0</v>
      </c>
      <c r="I43" s="4">
        <f>IF(($C43+$E43)=0,0,$C43/($C43+$E43))</f>
        <v>0</v>
      </c>
    </row>
    <row r="44" spans="1:9">
      <c r="A44" s="4">
        <v>0.42</v>
      </c>
      <c r="B44">
        <f>COUNTIFS(data!$B$2:$B$100000,1,data!$F$2:$F$100000,"&gt;="&amp;$A44)</f>
        <v>0</v>
      </c>
      <c r="C44">
        <f>COUNTIFS(data!$B$2:$B$100000,0,data!$F$2:$F$100000,"&gt;="&amp;$A44)</f>
        <v>0</v>
      </c>
      <c r="D44">
        <f>COUNTIFS(data!$B$2:$B$100000,1,data!$F$2:$F$100000,"&lt;"&amp;$A44)</f>
        <v>0</v>
      </c>
      <c r="E44">
        <f>COUNTIFS(data!$B$2:$B$100000,0,data!$F$2:$F$100000,"&lt;"&amp;$A44)</f>
        <v>0</v>
      </c>
      <c r="F44" s="4">
        <f>IF(($B44+$C44)=0,0,$B44/($B44+$C44))</f>
        <v>0</v>
      </c>
      <c r="G44" s="4">
        <f>IF(($B44+$D44)=0,0,$B44/($B44+$D44))</f>
        <v>0</v>
      </c>
      <c r="H44" s="4">
        <f>IF(($F44+$G44)=0,0,2*$F44*$G44/($F44+$G44))</f>
        <v>0</v>
      </c>
      <c r="I44" s="4">
        <f>IF(($C44+$E44)=0,0,$C44/($C44+$E44))</f>
        <v>0</v>
      </c>
    </row>
    <row r="45" spans="1:9">
      <c r="A45" s="4">
        <v>0.43</v>
      </c>
      <c r="B45">
        <f>COUNTIFS(data!$B$2:$B$100000,1,data!$F$2:$F$100000,"&gt;="&amp;$A45)</f>
        <v>0</v>
      </c>
      <c r="C45">
        <f>COUNTIFS(data!$B$2:$B$100000,0,data!$F$2:$F$100000,"&gt;="&amp;$A45)</f>
        <v>0</v>
      </c>
      <c r="D45">
        <f>COUNTIFS(data!$B$2:$B$100000,1,data!$F$2:$F$100000,"&lt;"&amp;$A45)</f>
        <v>0</v>
      </c>
      <c r="E45">
        <f>COUNTIFS(data!$B$2:$B$100000,0,data!$F$2:$F$100000,"&lt;"&amp;$A45)</f>
        <v>0</v>
      </c>
      <c r="F45" s="4">
        <f>IF(($B45+$C45)=0,0,$B45/($B45+$C45))</f>
        <v>0</v>
      </c>
      <c r="G45" s="4">
        <f>IF(($B45+$D45)=0,0,$B45/($B45+$D45))</f>
        <v>0</v>
      </c>
      <c r="H45" s="4">
        <f>IF(($F45+$G45)=0,0,2*$F45*$G45/($F45+$G45))</f>
        <v>0</v>
      </c>
      <c r="I45" s="4">
        <f>IF(($C45+$E45)=0,0,$C45/($C45+$E45))</f>
        <v>0</v>
      </c>
    </row>
    <row r="46" spans="1:9">
      <c r="A46" s="4">
        <v>0.44</v>
      </c>
      <c r="B46">
        <f>COUNTIFS(data!$B$2:$B$100000,1,data!$F$2:$F$100000,"&gt;="&amp;$A46)</f>
        <v>0</v>
      </c>
      <c r="C46">
        <f>COUNTIFS(data!$B$2:$B$100000,0,data!$F$2:$F$100000,"&gt;="&amp;$A46)</f>
        <v>0</v>
      </c>
      <c r="D46">
        <f>COUNTIFS(data!$B$2:$B$100000,1,data!$F$2:$F$100000,"&lt;"&amp;$A46)</f>
        <v>0</v>
      </c>
      <c r="E46">
        <f>COUNTIFS(data!$B$2:$B$100000,0,data!$F$2:$F$100000,"&lt;"&amp;$A46)</f>
        <v>0</v>
      </c>
      <c r="F46" s="4">
        <f>IF(($B46+$C46)=0,0,$B46/($B46+$C46))</f>
        <v>0</v>
      </c>
      <c r="G46" s="4">
        <f>IF(($B46+$D46)=0,0,$B46/($B46+$D46))</f>
        <v>0</v>
      </c>
      <c r="H46" s="4">
        <f>IF(($F46+$G46)=0,0,2*$F46*$G46/($F46+$G46))</f>
        <v>0</v>
      </c>
      <c r="I46" s="4">
        <f>IF(($C46+$E46)=0,0,$C46/($C46+$E46))</f>
        <v>0</v>
      </c>
    </row>
    <row r="47" spans="1:9">
      <c r="A47" s="4">
        <v>0.45</v>
      </c>
      <c r="B47">
        <f>COUNTIFS(data!$B$2:$B$100000,1,data!$F$2:$F$100000,"&gt;="&amp;$A47)</f>
        <v>0</v>
      </c>
      <c r="C47">
        <f>COUNTIFS(data!$B$2:$B$100000,0,data!$F$2:$F$100000,"&gt;="&amp;$A47)</f>
        <v>0</v>
      </c>
      <c r="D47">
        <f>COUNTIFS(data!$B$2:$B$100000,1,data!$F$2:$F$100000,"&lt;"&amp;$A47)</f>
        <v>0</v>
      </c>
      <c r="E47">
        <f>COUNTIFS(data!$B$2:$B$100000,0,data!$F$2:$F$100000,"&lt;"&amp;$A47)</f>
        <v>0</v>
      </c>
      <c r="F47" s="4">
        <f>IF(($B47+$C47)=0,0,$B47/($B47+$C47))</f>
        <v>0</v>
      </c>
      <c r="G47" s="4">
        <f>IF(($B47+$D47)=0,0,$B47/($B47+$D47))</f>
        <v>0</v>
      </c>
      <c r="H47" s="4">
        <f>IF(($F47+$G47)=0,0,2*$F47*$G47/($F47+$G47))</f>
        <v>0</v>
      </c>
      <c r="I47" s="4">
        <f>IF(($C47+$E47)=0,0,$C47/($C47+$E47))</f>
        <v>0</v>
      </c>
    </row>
    <row r="48" spans="1:9">
      <c r="A48" s="4">
        <v>0.46</v>
      </c>
      <c r="B48">
        <f>COUNTIFS(data!$B$2:$B$100000,1,data!$F$2:$F$100000,"&gt;="&amp;$A48)</f>
        <v>0</v>
      </c>
      <c r="C48">
        <f>COUNTIFS(data!$B$2:$B$100000,0,data!$F$2:$F$100000,"&gt;="&amp;$A48)</f>
        <v>0</v>
      </c>
      <c r="D48">
        <f>COUNTIFS(data!$B$2:$B$100000,1,data!$F$2:$F$100000,"&lt;"&amp;$A48)</f>
        <v>0</v>
      </c>
      <c r="E48">
        <f>COUNTIFS(data!$B$2:$B$100000,0,data!$F$2:$F$100000,"&lt;"&amp;$A48)</f>
        <v>0</v>
      </c>
      <c r="F48" s="4">
        <f>IF(($B48+$C48)=0,0,$B48/($B48+$C48))</f>
        <v>0</v>
      </c>
      <c r="G48" s="4">
        <f>IF(($B48+$D48)=0,0,$B48/($B48+$D48))</f>
        <v>0</v>
      </c>
      <c r="H48" s="4">
        <f>IF(($F48+$G48)=0,0,2*$F48*$G48/($F48+$G48))</f>
        <v>0</v>
      </c>
      <c r="I48" s="4">
        <f>IF(($C48+$E48)=0,0,$C48/($C48+$E48))</f>
        <v>0</v>
      </c>
    </row>
    <row r="49" spans="1:9">
      <c r="A49" s="4">
        <v>0.47</v>
      </c>
      <c r="B49">
        <f>COUNTIFS(data!$B$2:$B$100000,1,data!$F$2:$F$100000,"&gt;="&amp;$A49)</f>
        <v>0</v>
      </c>
      <c r="C49">
        <f>COUNTIFS(data!$B$2:$B$100000,0,data!$F$2:$F$100000,"&gt;="&amp;$A49)</f>
        <v>0</v>
      </c>
      <c r="D49">
        <f>COUNTIFS(data!$B$2:$B$100000,1,data!$F$2:$F$100000,"&lt;"&amp;$A49)</f>
        <v>0</v>
      </c>
      <c r="E49">
        <f>COUNTIFS(data!$B$2:$B$100000,0,data!$F$2:$F$100000,"&lt;"&amp;$A49)</f>
        <v>0</v>
      </c>
      <c r="F49" s="4">
        <f>IF(($B49+$C49)=0,0,$B49/($B49+$C49))</f>
        <v>0</v>
      </c>
      <c r="G49" s="4">
        <f>IF(($B49+$D49)=0,0,$B49/($B49+$D49))</f>
        <v>0</v>
      </c>
      <c r="H49" s="4">
        <f>IF(($F49+$G49)=0,0,2*$F49*$G49/($F49+$G49))</f>
        <v>0</v>
      </c>
      <c r="I49" s="4">
        <f>IF(($C49+$E49)=0,0,$C49/($C49+$E49))</f>
        <v>0</v>
      </c>
    </row>
    <row r="50" spans="1:9">
      <c r="A50" s="4">
        <v>0.48</v>
      </c>
      <c r="B50">
        <f>COUNTIFS(data!$B$2:$B$100000,1,data!$F$2:$F$100000,"&gt;="&amp;$A50)</f>
        <v>0</v>
      </c>
      <c r="C50">
        <f>COUNTIFS(data!$B$2:$B$100000,0,data!$F$2:$F$100000,"&gt;="&amp;$A50)</f>
        <v>0</v>
      </c>
      <c r="D50">
        <f>COUNTIFS(data!$B$2:$B$100000,1,data!$F$2:$F$100000,"&lt;"&amp;$A50)</f>
        <v>0</v>
      </c>
      <c r="E50">
        <f>COUNTIFS(data!$B$2:$B$100000,0,data!$F$2:$F$100000,"&lt;"&amp;$A50)</f>
        <v>0</v>
      </c>
      <c r="F50" s="4">
        <f>IF(($B50+$C50)=0,0,$B50/($B50+$C50))</f>
        <v>0</v>
      </c>
      <c r="G50" s="4">
        <f>IF(($B50+$D50)=0,0,$B50/($B50+$D50))</f>
        <v>0</v>
      </c>
      <c r="H50" s="4">
        <f>IF(($F50+$G50)=0,0,2*$F50*$G50/($F50+$G50))</f>
        <v>0</v>
      </c>
      <c r="I50" s="4">
        <f>IF(($C50+$E50)=0,0,$C50/($C50+$E50))</f>
        <v>0</v>
      </c>
    </row>
    <row r="51" spans="1:9">
      <c r="A51" s="4">
        <v>0.49</v>
      </c>
      <c r="B51">
        <f>COUNTIFS(data!$B$2:$B$100000,1,data!$F$2:$F$100000,"&gt;="&amp;$A51)</f>
        <v>0</v>
      </c>
      <c r="C51">
        <f>COUNTIFS(data!$B$2:$B$100000,0,data!$F$2:$F$100000,"&gt;="&amp;$A51)</f>
        <v>0</v>
      </c>
      <c r="D51">
        <f>COUNTIFS(data!$B$2:$B$100000,1,data!$F$2:$F$100000,"&lt;"&amp;$A51)</f>
        <v>0</v>
      </c>
      <c r="E51">
        <f>COUNTIFS(data!$B$2:$B$100000,0,data!$F$2:$F$100000,"&lt;"&amp;$A51)</f>
        <v>0</v>
      </c>
      <c r="F51" s="4">
        <f>IF(($B51+$C51)=0,0,$B51/($B51+$C51))</f>
        <v>0</v>
      </c>
      <c r="G51" s="4">
        <f>IF(($B51+$D51)=0,0,$B51/($B51+$D51))</f>
        <v>0</v>
      </c>
      <c r="H51" s="4">
        <f>IF(($F51+$G51)=0,0,2*$F51*$G51/($F51+$G51))</f>
        <v>0</v>
      </c>
      <c r="I51" s="4">
        <f>IF(($C51+$E51)=0,0,$C51/($C51+$E51))</f>
        <v>0</v>
      </c>
    </row>
    <row r="52" spans="1:9">
      <c r="A52" s="4">
        <v>0.5</v>
      </c>
      <c r="B52">
        <f>COUNTIFS(data!$B$2:$B$100000,1,data!$F$2:$F$100000,"&gt;="&amp;$A52)</f>
        <v>0</v>
      </c>
      <c r="C52">
        <f>COUNTIFS(data!$B$2:$B$100000,0,data!$F$2:$F$100000,"&gt;="&amp;$A52)</f>
        <v>0</v>
      </c>
      <c r="D52">
        <f>COUNTIFS(data!$B$2:$B$100000,1,data!$F$2:$F$100000,"&lt;"&amp;$A52)</f>
        <v>0</v>
      </c>
      <c r="E52">
        <f>COUNTIFS(data!$B$2:$B$100000,0,data!$F$2:$F$100000,"&lt;"&amp;$A52)</f>
        <v>0</v>
      </c>
      <c r="F52" s="4">
        <f>IF(($B52+$C52)=0,0,$B52/($B52+$C52))</f>
        <v>0</v>
      </c>
      <c r="G52" s="4">
        <f>IF(($B52+$D52)=0,0,$B52/($B52+$D52))</f>
        <v>0</v>
      </c>
      <c r="H52" s="4">
        <f>IF(($F52+$G52)=0,0,2*$F52*$G52/($F52+$G52))</f>
        <v>0</v>
      </c>
      <c r="I52" s="4">
        <f>IF(($C52+$E52)=0,0,$C52/($C52+$E52))</f>
        <v>0</v>
      </c>
    </row>
    <row r="53" spans="1:9">
      <c r="A53" s="4">
        <v>0.51</v>
      </c>
      <c r="B53">
        <f>COUNTIFS(data!$B$2:$B$100000,1,data!$F$2:$F$100000,"&gt;="&amp;$A53)</f>
        <v>0</v>
      </c>
      <c r="C53">
        <f>COUNTIFS(data!$B$2:$B$100000,0,data!$F$2:$F$100000,"&gt;="&amp;$A53)</f>
        <v>0</v>
      </c>
      <c r="D53">
        <f>COUNTIFS(data!$B$2:$B$100000,1,data!$F$2:$F$100000,"&lt;"&amp;$A53)</f>
        <v>0</v>
      </c>
      <c r="E53">
        <f>COUNTIFS(data!$B$2:$B$100000,0,data!$F$2:$F$100000,"&lt;"&amp;$A53)</f>
        <v>0</v>
      </c>
      <c r="F53" s="4">
        <f>IF(($B53+$C53)=0,0,$B53/($B53+$C53))</f>
        <v>0</v>
      </c>
      <c r="G53" s="4">
        <f>IF(($B53+$D53)=0,0,$B53/($B53+$D53))</f>
        <v>0</v>
      </c>
      <c r="H53" s="4">
        <f>IF(($F53+$G53)=0,0,2*$F53*$G53/($F53+$G53))</f>
        <v>0</v>
      </c>
      <c r="I53" s="4">
        <f>IF(($C53+$E53)=0,0,$C53/($C53+$E53))</f>
        <v>0</v>
      </c>
    </row>
    <row r="54" spans="1:9">
      <c r="A54" s="4">
        <v>0.52</v>
      </c>
      <c r="B54">
        <f>COUNTIFS(data!$B$2:$B$100000,1,data!$F$2:$F$100000,"&gt;="&amp;$A54)</f>
        <v>0</v>
      </c>
      <c r="C54">
        <f>COUNTIFS(data!$B$2:$B$100000,0,data!$F$2:$F$100000,"&gt;="&amp;$A54)</f>
        <v>0</v>
      </c>
      <c r="D54">
        <f>COUNTIFS(data!$B$2:$B$100000,1,data!$F$2:$F$100000,"&lt;"&amp;$A54)</f>
        <v>0</v>
      </c>
      <c r="E54">
        <f>COUNTIFS(data!$B$2:$B$100000,0,data!$F$2:$F$100000,"&lt;"&amp;$A54)</f>
        <v>0</v>
      </c>
      <c r="F54" s="4">
        <f>IF(($B54+$C54)=0,0,$B54/($B54+$C54))</f>
        <v>0</v>
      </c>
      <c r="G54" s="4">
        <f>IF(($B54+$D54)=0,0,$B54/($B54+$D54))</f>
        <v>0</v>
      </c>
      <c r="H54" s="4">
        <f>IF(($F54+$G54)=0,0,2*$F54*$G54/($F54+$G54))</f>
        <v>0</v>
      </c>
      <c r="I54" s="4">
        <f>IF(($C54+$E54)=0,0,$C54/($C54+$E54))</f>
        <v>0</v>
      </c>
    </row>
    <row r="55" spans="1:9">
      <c r="A55" s="4">
        <v>0.53</v>
      </c>
      <c r="B55">
        <f>COUNTIFS(data!$B$2:$B$100000,1,data!$F$2:$F$100000,"&gt;="&amp;$A55)</f>
        <v>0</v>
      </c>
      <c r="C55">
        <f>COUNTIFS(data!$B$2:$B$100000,0,data!$F$2:$F$100000,"&gt;="&amp;$A55)</f>
        <v>0</v>
      </c>
      <c r="D55">
        <f>COUNTIFS(data!$B$2:$B$100000,1,data!$F$2:$F$100000,"&lt;"&amp;$A55)</f>
        <v>0</v>
      </c>
      <c r="E55">
        <f>COUNTIFS(data!$B$2:$B$100000,0,data!$F$2:$F$100000,"&lt;"&amp;$A55)</f>
        <v>0</v>
      </c>
      <c r="F55" s="4">
        <f>IF(($B55+$C55)=0,0,$B55/($B55+$C55))</f>
        <v>0</v>
      </c>
      <c r="G55" s="4">
        <f>IF(($B55+$D55)=0,0,$B55/($B55+$D55))</f>
        <v>0</v>
      </c>
      <c r="H55" s="4">
        <f>IF(($F55+$G55)=0,0,2*$F55*$G55/($F55+$G55))</f>
        <v>0</v>
      </c>
      <c r="I55" s="4">
        <f>IF(($C55+$E55)=0,0,$C55/($C55+$E55))</f>
        <v>0</v>
      </c>
    </row>
    <row r="56" spans="1:9">
      <c r="A56" s="4">
        <v>0.54</v>
      </c>
      <c r="B56">
        <f>COUNTIFS(data!$B$2:$B$100000,1,data!$F$2:$F$100000,"&gt;="&amp;$A56)</f>
        <v>0</v>
      </c>
      <c r="C56">
        <f>COUNTIFS(data!$B$2:$B$100000,0,data!$F$2:$F$100000,"&gt;="&amp;$A56)</f>
        <v>0</v>
      </c>
      <c r="D56">
        <f>COUNTIFS(data!$B$2:$B$100000,1,data!$F$2:$F$100000,"&lt;"&amp;$A56)</f>
        <v>0</v>
      </c>
      <c r="E56">
        <f>COUNTIFS(data!$B$2:$B$100000,0,data!$F$2:$F$100000,"&lt;"&amp;$A56)</f>
        <v>0</v>
      </c>
      <c r="F56" s="4">
        <f>IF(($B56+$C56)=0,0,$B56/($B56+$C56))</f>
        <v>0</v>
      </c>
      <c r="G56" s="4">
        <f>IF(($B56+$D56)=0,0,$B56/($B56+$D56))</f>
        <v>0</v>
      </c>
      <c r="H56" s="4">
        <f>IF(($F56+$G56)=0,0,2*$F56*$G56/($F56+$G56))</f>
        <v>0</v>
      </c>
      <c r="I56" s="4">
        <f>IF(($C56+$E56)=0,0,$C56/($C56+$E56))</f>
        <v>0</v>
      </c>
    </row>
    <row r="57" spans="1:9">
      <c r="A57" s="4">
        <v>0.55</v>
      </c>
      <c r="B57">
        <f>COUNTIFS(data!$B$2:$B$100000,1,data!$F$2:$F$100000,"&gt;="&amp;$A57)</f>
        <v>0</v>
      </c>
      <c r="C57">
        <f>COUNTIFS(data!$B$2:$B$100000,0,data!$F$2:$F$100000,"&gt;="&amp;$A57)</f>
        <v>0</v>
      </c>
      <c r="D57">
        <f>COUNTIFS(data!$B$2:$B$100000,1,data!$F$2:$F$100000,"&lt;"&amp;$A57)</f>
        <v>0</v>
      </c>
      <c r="E57">
        <f>COUNTIFS(data!$B$2:$B$100000,0,data!$F$2:$F$100000,"&lt;"&amp;$A57)</f>
        <v>0</v>
      </c>
      <c r="F57" s="4">
        <f>IF(($B57+$C57)=0,0,$B57/($B57+$C57))</f>
        <v>0</v>
      </c>
      <c r="G57" s="4">
        <f>IF(($B57+$D57)=0,0,$B57/($B57+$D57))</f>
        <v>0</v>
      </c>
      <c r="H57" s="4">
        <f>IF(($F57+$G57)=0,0,2*$F57*$G57/($F57+$G57))</f>
        <v>0</v>
      </c>
      <c r="I57" s="4">
        <f>IF(($C57+$E57)=0,0,$C57/($C57+$E57))</f>
        <v>0</v>
      </c>
    </row>
    <row r="58" spans="1:9">
      <c r="A58" s="4">
        <v>0.5600000000000001</v>
      </c>
      <c r="B58">
        <f>COUNTIFS(data!$B$2:$B$100000,1,data!$F$2:$F$100000,"&gt;="&amp;$A58)</f>
        <v>0</v>
      </c>
      <c r="C58">
        <f>COUNTIFS(data!$B$2:$B$100000,0,data!$F$2:$F$100000,"&gt;="&amp;$A58)</f>
        <v>0</v>
      </c>
      <c r="D58">
        <f>COUNTIFS(data!$B$2:$B$100000,1,data!$F$2:$F$100000,"&lt;"&amp;$A58)</f>
        <v>0</v>
      </c>
      <c r="E58">
        <f>COUNTIFS(data!$B$2:$B$100000,0,data!$F$2:$F$100000,"&lt;"&amp;$A58)</f>
        <v>0</v>
      </c>
      <c r="F58" s="4">
        <f>IF(($B58+$C58)=0,0,$B58/($B58+$C58))</f>
        <v>0</v>
      </c>
      <c r="G58" s="4">
        <f>IF(($B58+$D58)=0,0,$B58/($B58+$D58))</f>
        <v>0</v>
      </c>
      <c r="H58" s="4">
        <f>IF(($F58+$G58)=0,0,2*$F58*$G58/($F58+$G58))</f>
        <v>0</v>
      </c>
      <c r="I58" s="4">
        <f>IF(($C58+$E58)=0,0,$C58/($C58+$E58))</f>
        <v>0</v>
      </c>
    </row>
    <row r="59" spans="1:9">
      <c r="A59" s="4">
        <v>0.57</v>
      </c>
      <c r="B59">
        <f>COUNTIFS(data!$B$2:$B$100000,1,data!$F$2:$F$100000,"&gt;="&amp;$A59)</f>
        <v>0</v>
      </c>
      <c r="C59">
        <f>COUNTIFS(data!$B$2:$B$100000,0,data!$F$2:$F$100000,"&gt;="&amp;$A59)</f>
        <v>0</v>
      </c>
      <c r="D59">
        <f>COUNTIFS(data!$B$2:$B$100000,1,data!$F$2:$F$100000,"&lt;"&amp;$A59)</f>
        <v>0</v>
      </c>
      <c r="E59">
        <f>COUNTIFS(data!$B$2:$B$100000,0,data!$F$2:$F$100000,"&lt;"&amp;$A59)</f>
        <v>0</v>
      </c>
      <c r="F59" s="4">
        <f>IF(($B59+$C59)=0,0,$B59/($B59+$C59))</f>
        <v>0</v>
      </c>
      <c r="G59" s="4">
        <f>IF(($B59+$D59)=0,0,$B59/($B59+$D59))</f>
        <v>0</v>
      </c>
      <c r="H59" s="4">
        <f>IF(($F59+$G59)=0,0,2*$F59*$G59/($F59+$G59))</f>
        <v>0</v>
      </c>
      <c r="I59" s="4">
        <f>IF(($C59+$E59)=0,0,$C59/($C59+$E59))</f>
        <v>0</v>
      </c>
    </row>
    <row r="60" spans="1:9">
      <c r="A60" s="4">
        <v>0.58</v>
      </c>
      <c r="B60">
        <f>COUNTIFS(data!$B$2:$B$100000,1,data!$F$2:$F$100000,"&gt;="&amp;$A60)</f>
        <v>0</v>
      </c>
      <c r="C60">
        <f>COUNTIFS(data!$B$2:$B$100000,0,data!$F$2:$F$100000,"&gt;="&amp;$A60)</f>
        <v>0</v>
      </c>
      <c r="D60">
        <f>COUNTIFS(data!$B$2:$B$100000,1,data!$F$2:$F$100000,"&lt;"&amp;$A60)</f>
        <v>0</v>
      </c>
      <c r="E60">
        <f>COUNTIFS(data!$B$2:$B$100000,0,data!$F$2:$F$100000,"&lt;"&amp;$A60)</f>
        <v>0</v>
      </c>
      <c r="F60" s="4">
        <f>IF(($B60+$C60)=0,0,$B60/($B60+$C60))</f>
        <v>0</v>
      </c>
      <c r="G60" s="4">
        <f>IF(($B60+$D60)=0,0,$B60/($B60+$D60))</f>
        <v>0</v>
      </c>
      <c r="H60" s="4">
        <f>IF(($F60+$G60)=0,0,2*$F60*$G60/($F60+$G60))</f>
        <v>0</v>
      </c>
      <c r="I60" s="4">
        <f>IF(($C60+$E60)=0,0,$C60/($C60+$E60))</f>
        <v>0</v>
      </c>
    </row>
    <row r="61" spans="1:9">
      <c r="A61" s="4">
        <v>0.59</v>
      </c>
      <c r="B61">
        <f>COUNTIFS(data!$B$2:$B$100000,1,data!$F$2:$F$100000,"&gt;="&amp;$A61)</f>
        <v>0</v>
      </c>
      <c r="C61">
        <f>COUNTIFS(data!$B$2:$B$100000,0,data!$F$2:$F$100000,"&gt;="&amp;$A61)</f>
        <v>0</v>
      </c>
      <c r="D61">
        <f>COUNTIFS(data!$B$2:$B$100000,1,data!$F$2:$F$100000,"&lt;"&amp;$A61)</f>
        <v>0</v>
      </c>
      <c r="E61">
        <f>COUNTIFS(data!$B$2:$B$100000,0,data!$F$2:$F$100000,"&lt;"&amp;$A61)</f>
        <v>0</v>
      </c>
      <c r="F61" s="4">
        <f>IF(($B61+$C61)=0,0,$B61/($B61+$C61))</f>
        <v>0</v>
      </c>
      <c r="G61" s="4">
        <f>IF(($B61+$D61)=0,0,$B61/($B61+$D61))</f>
        <v>0</v>
      </c>
      <c r="H61" s="4">
        <f>IF(($F61+$G61)=0,0,2*$F61*$G61/($F61+$G61))</f>
        <v>0</v>
      </c>
      <c r="I61" s="4">
        <f>IF(($C61+$E61)=0,0,$C61/($C61+$E61))</f>
        <v>0</v>
      </c>
    </row>
    <row r="62" spans="1:9">
      <c r="A62" s="4">
        <v>0.6</v>
      </c>
      <c r="B62">
        <f>COUNTIFS(data!$B$2:$B$100000,1,data!$F$2:$F$100000,"&gt;="&amp;$A62)</f>
        <v>0</v>
      </c>
      <c r="C62">
        <f>COUNTIFS(data!$B$2:$B$100000,0,data!$F$2:$F$100000,"&gt;="&amp;$A62)</f>
        <v>0</v>
      </c>
      <c r="D62">
        <f>COUNTIFS(data!$B$2:$B$100000,1,data!$F$2:$F$100000,"&lt;"&amp;$A62)</f>
        <v>0</v>
      </c>
      <c r="E62">
        <f>COUNTIFS(data!$B$2:$B$100000,0,data!$F$2:$F$100000,"&lt;"&amp;$A62)</f>
        <v>0</v>
      </c>
      <c r="F62" s="4">
        <f>IF(($B62+$C62)=0,0,$B62/($B62+$C62))</f>
        <v>0</v>
      </c>
      <c r="G62" s="4">
        <f>IF(($B62+$D62)=0,0,$B62/($B62+$D62))</f>
        <v>0</v>
      </c>
      <c r="H62" s="4">
        <f>IF(($F62+$G62)=0,0,2*$F62*$G62/($F62+$G62))</f>
        <v>0</v>
      </c>
      <c r="I62" s="4">
        <f>IF(($C62+$E62)=0,0,$C62/($C62+$E62))</f>
        <v>0</v>
      </c>
    </row>
    <row r="63" spans="1:9">
      <c r="A63" s="4">
        <v>0.61</v>
      </c>
      <c r="B63">
        <f>COUNTIFS(data!$B$2:$B$100000,1,data!$F$2:$F$100000,"&gt;="&amp;$A63)</f>
        <v>0</v>
      </c>
      <c r="C63">
        <f>COUNTIFS(data!$B$2:$B$100000,0,data!$F$2:$F$100000,"&gt;="&amp;$A63)</f>
        <v>0</v>
      </c>
      <c r="D63">
        <f>COUNTIFS(data!$B$2:$B$100000,1,data!$F$2:$F$100000,"&lt;"&amp;$A63)</f>
        <v>0</v>
      </c>
      <c r="E63">
        <f>COUNTIFS(data!$B$2:$B$100000,0,data!$F$2:$F$100000,"&lt;"&amp;$A63)</f>
        <v>0</v>
      </c>
      <c r="F63" s="4">
        <f>IF(($B63+$C63)=0,0,$B63/($B63+$C63))</f>
        <v>0</v>
      </c>
      <c r="G63" s="4">
        <f>IF(($B63+$D63)=0,0,$B63/($B63+$D63))</f>
        <v>0</v>
      </c>
      <c r="H63" s="4">
        <f>IF(($F63+$G63)=0,0,2*$F63*$G63/($F63+$G63))</f>
        <v>0</v>
      </c>
      <c r="I63" s="4">
        <f>IF(($C63+$E63)=0,0,$C63/($C63+$E63))</f>
        <v>0</v>
      </c>
    </row>
    <row r="64" spans="1:9">
      <c r="A64" s="4">
        <v>0.62</v>
      </c>
      <c r="B64">
        <f>COUNTIFS(data!$B$2:$B$100000,1,data!$F$2:$F$100000,"&gt;="&amp;$A64)</f>
        <v>0</v>
      </c>
      <c r="C64">
        <f>COUNTIFS(data!$B$2:$B$100000,0,data!$F$2:$F$100000,"&gt;="&amp;$A64)</f>
        <v>0</v>
      </c>
      <c r="D64">
        <f>COUNTIFS(data!$B$2:$B$100000,1,data!$F$2:$F$100000,"&lt;"&amp;$A64)</f>
        <v>0</v>
      </c>
      <c r="E64">
        <f>COUNTIFS(data!$B$2:$B$100000,0,data!$F$2:$F$100000,"&lt;"&amp;$A64)</f>
        <v>0</v>
      </c>
      <c r="F64" s="4">
        <f>IF(($B64+$C64)=0,0,$B64/($B64+$C64))</f>
        <v>0</v>
      </c>
      <c r="G64" s="4">
        <f>IF(($B64+$D64)=0,0,$B64/($B64+$D64))</f>
        <v>0</v>
      </c>
      <c r="H64" s="4">
        <f>IF(($F64+$G64)=0,0,2*$F64*$G64/($F64+$G64))</f>
        <v>0</v>
      </c>
      <c r="I64" s="4">
        <f>IF(($C64+$E64)=0,0,$C64/($C64+$E64))</f>
        <v>0</v>
      </c>
    </row>
    <row r="65" spans="1:9">
      <c r="A65" s="4">
        <v>0.63</v>
      </c>
      <c r="B65">
        <f>COUNTIFS(data!$B$2:$B$100000,1,data!$F$2:$F$100000,"&gt;="&amp;$A65)</f>
        <v>0</v>
      </c>
      <c r="C65">
        <f>COUNTIFS(data!$B$2:$B$100000,0,data!$F$2:$F$100000,"&gt;="&amp;$A65)</f>
        <v>0</v>
      </c>
      <c r="D65">
        <f>COUNTIFS(data!$B$2:$B$100000,1,data!$F$2:$F$100000,"&lt;"&amp;$A65)</f>
        <v>0</v>
      </c>
      <c r="E65">
        <f>COUNTIFS(data!$B$2:$B$100000,0,data!$F$2:$F$100000,"&lt;"&amp;$A65)</f>
        <v>0</v>
      </c>
      <c r="F65" s="4">
        <f>IF(($B65+$C65)=0,0,$B65/($B65+$C65))</f>
        <v>0</v>
      </c>
      <c r="G65" s="4">
        <f>IF(($B65+$D65)=0,0,$B65/($B65+$D65))</f>
        <v>0</v>
      </c>
      <c r="H65" s="4">
        <f>IF(($F65+$G65)=0,0,2*$F65*$G65/($F65+$G65))</f>
        <v>0</v>
      </c>
      <c r="I65" s="4">
        <f>IF(($C65+$E65)=0,0,$C65/($C65+$E65))</f>
        <v>0</v>
      </c>
    </row>
    <row r="66" spans="1:9">
      <c r="A66" s="4">
        <v>0.64</v>
      </c>
      <c r="B66">
        <f>COUNTIFS(data!$B$2:$B$100000,1,data!$F$2:$F$100000,"&gt;="&amp;$A66)</f>
        <v>0</v>
      </c>
      <c r="C66">
        <f>COUNTIFS(data!$B$2:$B$100000,0,data!$F$2:$F$100000,"&gt;="&amp;$A66)</f>
        <v>0</v>
      </c>
      <c r="D66">
        <f>COUNTIFS(data!$B$2:$B$100000,1,data!$F$2:$F$100000,"&lt;"&amp;$A66)</f>
        <v>0</v>
      </c>
      <c r="E66">
        <f>COUNTIFS(data!$B$2:$B$100000,0,data!$F$2:$F$100000,"&lt;"&amp;$A66)</f>
        <v>0</v>
      </c>
      <c r="F66" s="4">
        <f>IF(($B66+$C66)=0,0,$B66/($B66+$C66))</f>
        <v>0</v>
      </c>
      <c r="G66" s="4">
        <f>IF(($B66+$D66)=0,0,$B66/($B66+$D66))</f>
        <v>0</v>
      </c>
      <c r="H66" s="4">
        <f>IF(($F66+$G66)=0,0,2*$F66*$G66/($F66+$G66))</f>
        <v>0</v>
      </c>
      <c r="I66" s="4">
        <f>IF(($C66+$E66)=0,0,$C66/($C66+$E66))</f>
        <v>0</v>
      </c>
    </row>
    <row r="67" spans="1:9">
      <c r="A67" s="4">
        <v>0.65</v>
      </c>
      <c r="B67">
        <f>COUNTIFS(data!$B$2:$B$100000,1,data!$F$2:$F$100000,"&gt;="&amp;$A67)</f>
        <v>0</v>
      </c>
      <c r="C67">
        <f>COUNTIFS(data!$B$2:$B$100000,0,data!$F$2:$F$100000,"&gt;="&amp;$A67)</f>
        <v>0</v>
      </c>
      <c r="D67">
        <f>COUNTIFS(data!$B$2:$B$100000,1,data!$F$2:$F$100000,"&lt;"&amp;$A67)</f>
        <v>0</v>
      </c>
      <c r="E67">
        <f>COUNTIFS(data!$B$2:$B$100000,0,data!$F$2:$F$100000,"&lt;"&amp;$A67)</f>
        <v>0</v>
      </c>
      <c r="F67" s="4">
        <f>IF(($B67+$C67)=0,0,$B67/($B67+$C67))</f>
        <v>0</v>
      </c>
      <c r="G67" s="4">
        <f>IF(($B67+$D67)=0,0,$B67/($B67+$D67))</f>
        <v>0</v>
      </c>
      <c r="H67" s="4">
        <f>IF(($F67+$G67)=0,0,2*$F67*$G67/($F67+$G67))</f>
        <v>0</v>
      </c>
      <c r="I67" s="4">
        <f>IF(($C67+$E67)=0,0,$C67/($C67+$E67))</f>
        <v>0</v>
      </c>
    </row>
    <row r="68" spans="1:9">
      <c r="A68" s="4">
        <v>0.66</v>
      </c>
      <c r="B68">
        <f>COUNTIFS(data!$B$2:$B$100000,1,data!$F$2:$F$100000,"&gt;="&amp;$A68)</f>
        <v>0</v>
      </c>
      <c r="C68">
        <f>COUNTIFS(data!$B$2:$B$100000,0,data!$F$2:$F$100000,"&gt;="&amp;$A68)</f>
        <v>0</v>
      </c>
      <c r="D68">
        <f>COUNTIFS(data!$B$2:$B$100000,1,data!$F$2:$F$100000,"&lt;"&amp;$A68)</f>
        <v>0</v>
      </c>
      <c r="E68">
        <f>COUNTIFS(data!$B$2:$B$100000,0,data!$F$2:$F$100000,"&lt;"&amp;$A68)</f>
        <v>0</v>
      </c>
      <c r="F68" s="4">
        <f>IF(($B68+$C68)=0,0,$B68/($B68+$C68))</f>
        <v>0</v>
      </c>
      <c r="G68" s="4">
        <f>IF(($B68+$D68)=0,0,$B68/($B68+$D68))</f>
        <v>0</v>
      </c>
      <c r="H68" s="4">
        <f>IF(($F68+$G68)=0,0,2*$F68*$G68/($F68+$G68))</f>
        <v>0</v>
      </c>
      <c r="I68" s="4">
        <f>IF(($C68+$E68)=0,0,$C68/($C68+$E68))</f>
        <v>0</v>
      </c>
    </row>
    <row r="69" spans="1:9">
      <c r="A69" s="4">
        <v>0.67</v>
      </c>
      <c r="B69">
        <f>COUNTIFS(data!$B$2:$B$100000,1,data!$F$2:$F$100000,"&gt;="&amp;$A69)</f>
        <v>0</v>
      </c>
      <c r="C69">
        <f>COUNTIFS(data!$B$2:$B$100000,0,data!$F$2:$F$100000,"&gt;="&amp;$A69)</f>
        <v>0</v>
      </c>
      <c r="D69">
        <f>COUNTIFS(data!$B$2:$B$100000,1,data!$F$2:$F$100000,"&lt;"&amp;$A69)</f>
        <v>0</v>
      </c>
      <c r="E69">
        <f>COUNTIFS(data!$B$2:$B$100000,0,data!$F$2:$F$100000,"&lt;"&amp;$A69)</f>
        <v>0</v>
      </c>
      <c r="F69" s="4">
        <f>IF(($B69+$C69)=0,0,$B69/($B69+$C69))</f>
        <v>0</v>
      </c>
      <c r="G69" s="4">
        <f>IF(($B69+$D69)=0,0,$B69/($B69+$D69))</f>
        <v>0</v>
      </c>
      <c r="H69" s="4">
        <f>IF(($F69+$G69)=0,0,2*$F69*$G69/($F69+$G69))</f>
        <v>0</v>
      </c>
      <c r="I69" s="4">
        <f>IF(($C69+$E69)=0,0,$C69/($C69+$E69))</f>
        <v>0</v>
      </c>
    </row>
    <row r="70" spans="1:9">
      <c r="A70" s="4">
        <v>0.68</v>
      </c>
      <c r="B70">
        <f>COUNTIFS(data!$B$2:$B$100000,1,data!$F$2:$F$100000,"&gt;="&amp;$A70)</f>
        <v>0</v>
      </c>
      <c r="C70">
        <f>COUNTIFS(data!$B$2:$B$100000,0,data!$F$2:$F$100000,"&gt;="&amp;$A70)</f>
        <v>0</v>
      </c>
      <c r="D70">
        <f>COUNTIFS(data!$B$2:$B$100000,1,data!$F$2:$F$100000,"&lt;"&amp;$A70)</f>
        <v>0</v>
      </c>
      <c r="E70">
        <f>COUNTIFS(data!$B$2:$B$100000,0,data!$F$2:$F$100000,"&lt;"&amp;$A70)</f>
        <v>0</v>
      </c>
      <c r="F70" s="4">
        <f>IF(($B70+$C70)=0,0,$B70/($B70+$C70))</f>
        <v>0</v>
      </c>
      <c r="G70" s="4">
        <f>IF(($B70+$D70)=0,0,$B70/($B70+$D70))</f>
        <v>0</v>
      </c>
      <c r="H70" s="4">
        <f>IF(($F70+$G70)=0,0,2*$F70*$G70/($F70+$G70))</f>
        <v>0</v>
      </c>
      <c r="I70" s="4">
        <f>IF(($C70+$E70)=0,0,$C70/($C70+$E70))</f>
        <v>0</v>
      </c>
    </row>
    <row r="71" spans="1:9">
      <c r="A71" s="4">
        <v>0.6899999999999999</v>
      </c>
      <c r="B71">
        <f>COUNTIFS(data!$B$2:$B$100000,1,data!$F$2:$F$100000,"&gt;="&amp;$A71)</f>
        <v>0</v>
      </c>
      <c r="C71">
        <f>COUNTIFS(data!$B$2:$B$100000,0,data!$F$2:$F$100000,"&gt;="&amp;$A71)</f>
        <v>0</v>
      </c>
      <c r="D71">
        <f>COUNTIFS(data!$B$2:$B$100000,1,data!$F$2:$F$100000,"&lt;"&amp;$A71)</f>
        <v>0</v>
      </c>
      <c r="E71">
        <f>COUNTIFS(data!$B$2:$B$100000,0,data!$F$2:$F$100000,"&lt;"&amp;$A71)</f>
        <v>0</v>
      </c>
      <c r="F71" s="4">
        <f>IF(($B71+$C71)=0,0,$B71/($B71+$C71))</f>
        <v>0</v>
      </c>
      <c r="G71" s="4">
        <f>IF(($B71+$D71)=0,0,$B71/($B71+$D71))</f>
        <v>0</v>
      </c>
      <c r="H71" s="4">
        <f>IF(($F71+$G71)=0,0,2*$F71*$G71/($F71+$G71))</f>
        <v>0</v>
      </c>
      <c r="I71" s="4">
        <f>IF(($C71+$E71)=0,0,$C71/($C71+$E71))</f>
        <v>0</v>
      </c>
    </row>
    <row r="72" spans="1:9">
      <c r="A72" s="4">
        <v>0.7</v>
      </c>
      <c r="B72">
        <f>COUNTIFS(data!$B$2:$B$100000,1,data!$F$2:$F$100000,"&gt;="&amp;$A72)</f>
        <v>0</v>
      </c>
      <c r="C72">
        <f>COUNTIFS(data!$B$2:$B$100000,0,data!$F$2:$F$100000,"&gt;="&amp;$A72)</f>
        <v>0</v>
      </c>
      <c r="D72">
        <f>COUNTIFS(data!$B$2:$B$100000,1,data!$F$2:$F$100000,"&lt;"&amp;$A72)</f>
        <v>0</v>
      </c>
      <c r="E72">
        <f>COUNTIFS(data!$B$2:$B$100000,0,data!$F$2:$F$100000,"&lt;"&amp;$A72)</f>
        <v>0</v>
      </c>
      <c r="F72" s="4">
        <f>IF(($B72+$C72)=0,0,$B72/($B72+$C72))</f>
        <v>0</v>
      </c>
      <c r="G72" s="4">
        <f>IF(($B72+$D72)=0,0,$B72/($B72+$D72))</f>
        <v>0</v>
      </c>
      <c r="H72" s="4">
        <f>IF(($F72+$G72)=0,0,2*$F72*$G72/($F72+$G72))</f>
        <v>0</v>
      </c>
      <c r="I72" s="4">
        <f>IF(($C72+$E72)=0,0,$C72/($C72+$E72))</f>
        <v>0</v>
      </c>
    </row>
    <row r="73" spans="1:9">
      <c r="A73" s="4">
        <v>0.71</v>
      </c>
      <c r="B73">
        <f>COUNTIFS(data!$B$2:$B$100000,1,data!$F$2:$F$100000,"&gt;="&amp;$A73)</f>
        <v>0</v>
      </c>
      <c r="C73">
        <f>COUNTIFS(data!$B$2:$B$100000,0,data!$F$2:$F$100000,"&gt;="&amp;$A73)</f>
        <v>0</v>
      </c>
      <c r="D73">
        <f>COUNTIFS(data!$B$2:$B$100000,1,data!$F$2:$F$100000,"&lt;"&amp;$A73)</f>
        <v>0</v>
      </c>
      <c r="E73">
        <f>COUNTIFS(data!$B$2:$B$100000,0,data!$F$2:$F$100000,"&lt;"&amp;$A73)</f>
        <v>0</v>
      </c>
      <c r="F73" s="4">
        <f>IF(($B73+$C73)=0,0,$B73/($B73+$C73))</f>
        <v>0</v>
      </c>
      <c r="G73" s="4">
        <f>IF(($B73+$D73)=0,0,$B73/($B73+$D73))</f>
        <v>0</v>
      </c>
      <c r="H73" s="4">
        <f>IF(($F73+$G73)=0,0,2*$F73*$G73/($F73+$G73))</f>
        <v>0</v>
      </c>
      <c r="I73" s="4">
        <f>IF(($C73+$E73)=0,0,$C73/($C73+$E73))</f>
        <v>0</v>
      </c>
    </row>
    <row r="74" spans="1:9">
      <c r="A74" s="4">
        <v>0.72</v>
      </c>
      <c r="B74">
        <f>COUNTIFS(data!$B$2:$B$100000,1,data!$F$2:$F$100000,"&gt;="&amp;$A74)</f>
        <v>0</v>
      </c>
      <c r="C74">
        <f>COUNTIFS(data!$B$2:$B$100000,0,data!$F$2:$F$100000,"&gt;="&amp;$A74)</f>
        <v>0</v>
      </c>
      <c r="D74">
        <f>COUNTIFS(data!$B$2:$B$100000,1,data!$F$2:$F$100000,"&lt;"&amp;$A74)</f>
        <v>0</v>
      </c>
      <c r="E74">
        <f>COUNTIFS(data!$B$2:$B$100000,0,data!$F$2:$F$100000,"&lt;"&amp;$A74)</f>
        <v>0</v>
      </c>
      <c r="F74" s="4">
        <f>IF(($B74+$C74)=0,0,$B74/($B74+$C74))</f>
        <v>0</v>
      </c>
      <c r="G74" s="4">
        <f>IF(($B74+$D74)=0,0,$B74/($B74+$D74))</f>
        <v>0</v>
      </c>
      <c r="H74" s="4">
        <f>IF(($F74+$G74)=0,0,2*$F74*$G74/($F74+$G74))</f>
        <v>0</v>
      </c>
      <c r="I74" s="4">
        <f>IF(($C74+$E74)=0,0,$C74/($C74+$E74))</f>
        <v>0</v>
      </c>
    </row>
    <row r="75" spans="1:9">
      <c r="A75" s="4">
        <v>0.73</v>
      </c>
      <c r="B75">
        <f>COUNTIFS(data!$B$2:$B$100000,1,data!$F$2:$F$100000,"&gt;="&amp;$A75)</f>
        <v>0</v>
      </c>
      <c r="C75">
        <f>COUNTIFS(data!$B$2:$B$100000,0,data!$F$2:$F$100000,"&gt;="&amp;$A75)</f>
        <v>0</v>
      </c>
      <c r="D75">
        <f>COUNTIFS(data!$B$2:$B$100000,1,data!$F$2:$F$100000,"&lt;"&amp;$A75)</f>
        <v>0</v>
      </c>
      <c r="E75">
        <f>COUNTIFS(data!$B$2:$B$100000,0,data!$F$2:$F$100000,"&lt;"&amp;$A75)</f>
        <v>0</v>
      </c>
      <c r="F75" s="4">
        <f>IF(($B75+$C75)=0,0,$B75/($B75+$C75))</f>
        <v>0</v>
      </c>
      <c r="G75" s="4">
        <f>IF(($B75+$D75)=0,0,$B75/($B75+$D75))</f>
        <v>0</v>
      </c>
      <c r="H75" s="4">
        <f>IF(($F75+$G75)=0,0,2*$F75*$G75/($F75+$G75))</f>
        <v>0</v>
      </c>
      <c r="I75" s="4">
        <f>IF(($C75+$E75)=0,0,$C75/($C75+$E75))</f>
        <v>0</v>
      </c>
    </row>
    <row r="76" spans="1:9">
      <c r="A76" s="4">
        <v>0.74</v>
      </c>
      <c r="B76">
        <f>COUNTIFS(data!$B$2:$B$100000,1,data!$F$2:$F$100000,"&gt;="&amp;$A76)</f>
        <v>0</v>
      </c>
      <c r="C76">
        <f>COUNTIFS(data!$B$2:$B$100000,0,data!$F$2:$F$100000,"&gt;="&amp;$A76)</f>
        <v>0</v>
      </c>
      <c r="D76">
        <f>COUNTIFS(data!$B$2:$B$100000,1,data!$F$2:$F$100000,"&lt;"&amp;$A76)</f>
        <v>0</v>
      </c>
      <c r="E76">
        <f>COUNTIFS(data!$B$2:$B$100000,0,data!$F$2:$F$100000,"&lt;"&amp;$A76)</f>
        <v>0</v>
      </c>
      <c r="F76" s="4">
        <f>IF(($B76+$C76)=0,0,$B76/($B76+$C76))</f>
        <v>0</v>
      </c>
      <c r="G76" s="4">
        <f>IF(($B76+$D76)=0,0,$B76/($B76+$D76))</f>
        <v>0</v>
      </c>
      <c r="H76" s="4">
        <f>IF(($F76+$G76)=0,0,2*$F76*$G76/($F76+$G76))</f>
        <v>0</v>
      </c>
      <c r="I76" s="4">
        <f>IF(($C76+$E76)=0,0,$C76/($C76+$E76))</f>
        <v>0</v>
      </c>
    </row>
    <row r="77" spans="1:9">
      <c r="A77" s="4">
        <v>0.75</v>
      </c>
      <c r="B77">
        <f>COUNTIFS(data!$B$2:$B$100000,1,data!$F$2:$F$100000,"&gt;="&amp;$A77)</f>
        <v>0</v>
      </c>
      <c r="C77">
        <f>COUNTIFS(data!$B$2:$B$100000,0,data!$F$2:$F$100000,"&gt;="&amp;$A77)</f>
        <v>0</v>
      </c>
      <c r="D77">
        <f>COUNTIFS(data!$B$2:$B$100000,1,data!$F$2:$F$100000,"&lt;"&amp;$A77)</f>
        <v>0</v>
      </c>
      <c r="E77">
        <f>COUNTIFS(data!$B$2:$B$100000,0,data!$F$2:$F$100000,"&lt;"&amp;$A77)</f>
        <v>0</v>
      </c>
      <c r="F77" s="4">
        <f>IF(($B77+$C77)=0,0,$B77/($B77+$C77))</f>
        <v>0</v>
      </c>
      <c r="G77" s="4">
        <f>IF(($B77+$D77)=0,0,$B77/($B77+$D77))</f>
        <v>0</v>
      </c>
      <c r="H77" s="4">
        <f>IF(($F77+$G77)=0,0,2*$F77*$G77/($F77+$G77))</f>
        <v>0</v>
      </c>
      <c r="I77" s="4">
        <f>IF(($C77+$E77)=0,0,$C77/($C77+$E77))</f>
        <v>0</v>
      </c>
    </row>
    <row r="78" spans="1:9">
      <c r="A78" s="4">
        <v>0.76</v>
      </c>
      <c r="B78">
        <f>COUNTIFS(data!$B$2:$B$100000,1,data!$F$2:$F$100000,"&gt;="&amp;$A78)</f>
        <v>0</v>
      </c>
      <c r="C78">
        <f>COUNTIFS(data!$B$2:$B$100000,0,data!$F$2:$F$100000,"&gt;="&amp;$A78)</f>
        <v>0</v>
      </c>
      <c r="D78">
        <f>COUNTIFS(data!$B$2:$B$100000,1,data!$F$2:$F$100000,"&lt;"&amp;$A78)</f>
        <v>0</v>
      </c>
      <c r="E78">
        <f>COUNTIFS(data!$B$2:$B$100000,0,data!$F$2:$F$100000,"&lt;"&amp;$A78)</f>
        <v>0</v>
      </c>
      <c r="F78" s="4">
        <f>IF(($B78+$C78)=0,0,$B78/($B78+$C78))</f>
        <v>0</v>
      </c>
      <c r="G78" s="4">
        <f>IF(($B78+$D78)=0,0,$B78/($B78+$D78))</f>
        <v>0</v>
      </c>
      <c r="H78" s="4">
        <f>IF(($F78+$G78)=0,0,2*$F78*$G78/($F78+$G78))</f>
        <v>0</v>
      </c>
      <c r="I78" s="4">
        <f>IF(($C78+$E78)=0,0,$C78/($C78+$E78))</f>
        <v>0</v>
      </c>
    </row>
    <row r="79" spans="1:9">
      <c r="A79" s="4">
        <v>0.77</v>
      </c>
      <c r="B79">
        <f>COUNTIFS(data!$B$2:$B$100000,1,data!$F$2:$F$100000,"&gt;="&amp;$A79)</f>
        <v>0</v>
      </c>
      <c r="C79">
        <f>COUNTIFS(data!$B$2:$B$100000,0,data!$F$2:$F$100000,"&gt;="&amp;$A79)</f>
        <v>0</v>
      </c>
      <c r="D79">
        <f>COUNTIFS(data!$B$2:$B$100000,1,data!$F$2:$F$100000,"&lt;"&amp;$A79)</f>
        <v>0</v>
      </c>
      <c r="E79">
        <f>COUNTIFS(data!$B$2:$B$100000,0,data!$F$2:$F$100000,"&lt;"&amp;$A79)</f>
        <v>0</v>
      </c>
      <c r="F79" s="4">
        <f>IF(($B79+$C79)=0,0,$B79/($B79+$C79))</f>
        <v>0</v>
      </c>
      <c r="G79" s="4">
        <f>IF(($B79+$D79)=0,0,$B79/($B79+$D79))</f>
        <v>0</v>
      </c>
      <c r="H79" s="4">
        <f>IF(($F79+$G79)=0,0,2*$F79*$G79/($F79+$G79))</f>
        <v>0</v>
      </c>
      <c r="I79" s="4">
        <f>IF(($C79+$E79)=0,0,$C79/($C79+$E79))</f>
        <v>0</v>
      </c>
    </row>
    <row r="80" spans="1:9">
      <c r="A80" s="4">
        <v>0.78</v>
      </c>
      <c r="B80">
        <f>COUNTIFS(data!$B$2:$B$100000,1,data!$F$2:$F$100000,"&gt;="&amp;$A80)</f>
        <v>0</v>
      </c>
      <c r="C80">
        <f>COUNTIFS(data!$B$2:$B$100000,0,data!$F$2:$F$100000,"&gt;="&amp;$A80)</f>
        <v>0</v>
      </c>
      <c r="D80">
        <f>COUNTIFS(data!$B$2:$B$100000,1,data!$F$2:$F$100000,"&lt;"&amp;$A80)</f>
        <v>0</v>
      </c>
      <c r="E80">
        <f>COUNTIFS(data!$B$2:$B$100000,0,data!$F$2:$F$100000,"&lt;"&amp;$A80)</f>
        <v>0</v>
      </c>
      <c r="F80" s="4">
        <f>IF(($B80+$C80)=0,0,$B80/($B80+$C80))</f>
        <v>0</v>
      </c>
      <c r="G80" s="4">
        <f>IF(($B80+$D80)=0,0,$B80/($B80+$D80))</f>
        <v>0</v>
      </c>
      <c r="H80" s="4">
        <f>IF(($F80+$G80)=0,0,2*$F80*$G80/($F80+$G80))</f>
        <v>0</v>
      </c>
      <c r="I80" s="4">
        <f>IF(($C80+$E80)=0,0,$C80/($C80+$E80))</f>
        <v>0</v>
      </c>
    </row>
    <row r="81" spans="1:9">
      <c r="A81" s="4">
        <v>0.79</v>
      </c>
      <c r="B81">
        <f>COUNTIFS(data!$B$2:$B$100000,1,data!$F$2:$F$100000,"&gt;="&amp;$A81)</f>
        <v>0</v>
      </c>
      <c r="C81">
        <f>COUNTIFS(data!$B$2:$B$100000,0,data!$F$2:$F$100000,"&gt;="&amp;$A81)</f>
        <v>0</v>
      </c>
      <c r="D81">
        <f>COUNTIFS(data!$B$2:$B$100000,1,data!$F$2:$F$100000,"&lt;"&amp;$A81)</f>
        <v>0</v>
      </c>
      <c r="E81">
        <f>COUNTIFS(data!$B$2:$B$100000,0,data!$F$2:$F$100000,"&lt;"&amp;$A81)</f>
        <v>0</v>
      </c>
      <c r="F81" s="4">
        <f>IF(($B81+$C81)=0,0,$B81/($B81+$C81))</f>
        <v>0</v>
      </c>
      <c r="G81" s="4">
        <f>IF(($B81+$D81)=0,0,$B81/($B81+$D81))</f>
        <v>0</v>
      </c>
      <c r="H81" s="4">
        <f>IF(($F81+$G81)=0,0,2*$F81*$G81/($F81+$G81))</f>
        <v>0</v>
      </c>
      <c r="I81" s="4">
        <f>IF(($C81+$E81)=0,0,$C81/($C81+$E81))</f>
        <v>0</v>
      </c>
    </row>
    <row r="82" spans="1:9">
      <c r="A82" s="4">
        <v>0.8</v>
      </c>
      <c r="B82">
        <f>COUNTIFS(data!$B$2:$B$100000,1,data!$F$2:$F$100000,"&gt;="&amp;$A82)</f>
        <v>0</v>
      </c>
      <c r="C82">
        <f>COUNTIFS(data!$B$2:$B$100000,0,data!$F$2:$F$100000,"&gt;="&amp;$A82)</f>
        <v>0</v>
      </c>
      <c r="D82">
        <f>COUNTIFS(data!$B$2:$B$100000,1,data!$F$2:$F$100000,"&lt;"&amp;$A82)</f>
        <v>0</v>
      </c>
      <c r="E82">
        <f>COUNTIFS(data!$B$2:$B$100000,0,data!$F$2:$F$100000,"&lt;"&amp;$A82)</f>
        <v>0</v>
      </c>
      <c r="F82" s="4">
        <f>IF(($B82+$C82)=0,0,$B82/($B82+$C82))</f>
        <v>0</v>
      </c>
      <c r="G82" s="4">
        <f>IF(($B82+$D82)=0,0,$B82/($B82+$D82))</f>
        <v>0</v>
      </c>
      <c r="H82" s="4">
        <f>IF(($F82+$G82)=0,0,2*$F82*$G82/($F82+$G82))</f>
        <v>0</v>
      </c>
      <c r="I82" s="4">
        <f>IF(($C82+$E82)=0,0,$C82/($C82+$E82))</f>
        <v>0</v>
      </c>
    </row>
    <row r="83" spans="1:9">
      <c r="A83" s="4">
        <v>0.8100000000000001</v>
      </c>
      <c r="B83">
        <f>COUNTIFS(data!$B$2:$B$100000,1,data!$F$2:$F$100000,"&gt;="&amp;$A83)</f>
        <v>0</v>
      </c>
      <c r="C83">
        <f>COUNTIFS(data!$B$2:$B$100000,0,data!$F$2:$F$100000,"&gt;="&amp;$A83)</f>
        <v>0</v>
      </c>
      <c r="D83">
        <f>COUNTIFS(data!$B$2:$B$100000,1,data!$F$2:$F$100000,"&lt;"&amp;$A83)</f>
        <v>0</v>
      </c>
      <c r="E83">
        <f>COUNTIFS(data!$B$2:$B$100000,0,data!$F$2:$F$100000,"&lt;"&amp;$A83)</f>
        <v>0</v>
      </c>
      <c r="F83" s="4">
        <f>IF(($B83+$C83)=0,0,$B83/($B83+$C83))</f>
        <v>0</v>
      </c>
      <c r="G83" s="4">
        <f>IF(($B83+$D83)=0,0,$B83/($B83+$D83))</f>
        <v>0</v>
      </c>
      <c r="H83" s="4">
        <f>IF(($F83+$G83)=0,0,2*$F83*$G83/($F83+$G83))</f>
        <v>0</v>
      </c>
      <c r="I83" s="4">
        <f>IF(($C83+$E83)=0,0,$C83/($C83+$E83))</f>
        <v>0</v>
      </c>
    </row>
    <row r="84" spans="1:9">
      <c r="A84" s="4">
        <v>0.82</v>
      </c>
      <c r="B84">
        <f>COUNTIFS(data!$B$2:$B$100000,1,data!$F$2:$F$100000,"&gt;="&amp;$A84)</f>
        <v>0</v>
      </c>
      <c r="C84">
        <f>COUNTIFS(data!$B$2:$B$100000,0,data!$F$2:$F$100000,"&gt;="&amp;$A84)</f>
        <v>0</v>
      </c>
      <c r="D84">
        <f>COUNTIFS(data!$B$2:$B$100000,1,data!$F$2:$F$100000,"&lt;"&amp;$A84)</f>
        <v>0</v>
      </c>
      <c r="E84">
        <f>COUNTIFS(data!$B$2:$B$100000,0,data!$F$2:$F$100000,"&lt;"&amp;$A84)</f>
        <v>0</v>
      </c>
      <c r="F84" s="4">
        <f>IF(($B84+$C84)=0,0,$B84/($B84+$C84))</f>
        <v>0</v>
      </c>
      <c r="G84" s="4">
        <f>IF(($B84+$D84)=0,0,$B84/($B84+$D84))</f>
        <v>0</v>
      </c>
      <c r="H84" s="4">
        <f>IF(($F84+$G84)=0,0,2*$F84*$G84/($F84+$G84))</f>
        <v>0</v>
      </c>
      <c r="I84" s="4">
        <f>IF(($C84+$E84)=0,0,$C84/($C84+$E84))</f>
        <v>0</v>
      </c>
    </row>
    <row r="85" spans="1:9">
      <c r="A85" s="4">
        <v>0.83</v>
      </c>
      <c r="B85">
        <f>COUNTIFS(data!$B$2:$B$100000,1,data!$F$2:$F$100000,"&gt;="&amp;$A85)</f>
        <v>0</v>
      </c>
      <c r="C85">
        <f>COUNTIFS(data!$B$2:$B$100000,0,data!$F$2:$F$100000,"&gt;="&amp;$A85)</f>
        <v>0</v>
      </c>
      <c r="D85">
        <f>COUNTIFS(data!$B$2:$B$100000,1,data!$F$2:$F$100000,"&lt;"&amp;$A85)</f>
        <v>0</v>
      </c>
      <c r="E85">
        <f>COUNTIFS(data!$B$2:$B$100000,0,data!$F$2:$F$100000,"&lt;"&amp;$A85)</f>
        <v>0</v>
      </c>
      <c r="F85" s="4">
        <f>IF(($B85+$C85)=0,0,$B85/($B85+$C85))</f>
        <v>0</v>
      </c>
      <c r="G85" s="4">
        <f>IF(($B85+$D85)=0,0,$B85/($B85+$D85))</f>
        <v>0</v>
      </c>
      <c r="H85" s="4">
        <f>IF(($F85+$G85)=0,0,2*$F85*$G85/($F85+$G85))</f>
        <v>0</v>
      </c>
      <c r="I85" s="4">
        <f>IF(($C85+$E85)=0,0,$C85/($C85+$E85))</f>
        <v>0</v>
      </c>
    </row>
    <row r="86" spans="1:9">
      <c r="A86" s="4">
        <v>0.84</v>
      </c>
      <c r="B86">
        <f>COUNTIFS(data!$B$2:$B$100000,1,data!$F$2:$F$100000,"&gt;="&amp;$A86)</f>
        <v>0</v>
      </c>
      <c r="C86">
        <f>COUNTIFS(data!$B$2:$B$100000,0,data!$F$2:$F$100000,"&gt;="&amp;$A86)</f>
        <v>0</v>
      </c>
      <c r="D86">
        <f>COUNTIFS(data!$B$2:$B$100000,1,data!$F$2:$F$100000,"&lt;"&amp;$A86)</f>
        <v>0</v>
      </c>
      <c r="E86">
        <f>COUNTIFS(data!$B$2:$B$100000,0,data!$F$2:$F$100000,"&lt;"&amp;$A86)</f>
        <v>0</v>
      </c>
      <c r="F86" s="4">
        <f>IF(($B86+$C86)=0,0,$B86/($B86+$C86))</f>
        <v>0</v>
      </c>
      <c r="G86" s="4">
        <f>IF(($B86+$D86)=0,0,$B86/($B86+$D86))</f>
        <v>0</v>
      </c>
      <c r="H86" s="4">
        <f>IF(($F86+$G86)=0,0,2*$F86*$G86/($F86+$G86))</f>
        <v>0</v>
      </c>
      <c r="I86" s="4">
        <f>IF(($C86+$E86)=0,0,$C86/($C86+$E86))</f>
        <v>0</v>
      </c>
    </row>
    <row r="87" spans="1:9">
      <c r="A87" s="4">
        <v>0.85</v>
      </c>
      <c r="B87">
        <f>COUNTIFS(data!$B$2:$B$100000,1,data!$F$2:$F$100000,"&gt;="&amp;$A87)</f>
        <v>0</v>
      </c>
      <c r="C87">
        <f>COUNTIFS(data!$B$2:$B$100000,0,data!$F$2:$F$100000,"&gt;="&amp;$A87)</f>
        <v>0</v>
      </c>
      <c r="D87">
        <f>COUNTIFS(data!$B$2:$B$100000,1,data!$F$2:$F$100000,"&lt;"&amp;$A87)</f>
        <v>0</v>
      </c>
      <c r="E87">
        <f>COUNTIFS(data!$B$2:$B$100000,0,data!$F$2:$F$100000,"&lt;"&amp;$A87)</f>
        <v>0</v>
      </c>
      <c r="F87" s="4">
        <f>IF(($B87+$C87)=0,0,$B87/($B87+$C87))</f>
        <v>0</v>
      </c>
      <c r="G87" s="4">
        <f>IF(($B87+$D87)=0,0,$B87/($B87+$D87))</f>
        <v>0</v>
      </c>
      <c r="H87" s="4">
        <f>IF(($F87+$G87)=0,0,2*$F87*$G87/($F87+$G87))</f>
        <v>0</v>
      </c>
      <c r="I87" s="4">
        <f>IF(($C87+$E87)=0,0,$C87/($C87+$E87))</f>
        <v>0</v>
      </c>
    </row>
    <row r="88" spans="1:9">
      <c r="A88" s="4">
        <v>0.86</v>
      </c>
      <c r="B88">
        <f>COUNTIFS(data!$B$2:$B$100000,1,data!$F$2:$F$100000,"&gt;="&amp;$A88)</f>
        <v>0</v>
      </c>
      <c r="C88">
        <f>COUNTIFS(data!$B$2:$B$100000,0,data!$F$2:$F$100000,"&gt;="&amp;$A88)</f>
        <v>0</v>
      </c>
      <c r="D88">
        <f>COUNTIFS(data!$B$2:$B$100000,1,data!$F$2:$F$100000,"&lt;"&amp;$A88)</f>
        <v>0</v>
      </c>
      <c r="E88">
        <f>COUNTIFS(data!$B$2:$B$100000,0,data!$F$2:$F$100000,"&lt;"&amp;$A88)</f>
        <v>0</v>
      </c>
      <c r="F88" s="4">
        <f>IF(($B88+$C88)=0,0,$B88/($B88+$C88))</f>
        <v>0</v>
      </c>
      <c r="G88" s="4">
        <f>IF(($B88+$D88)=0,0,$B88/($B88+$D88))</f>
        <v>0</v>
      </c>
      <c r="H88" s="4">
        <f>IF(($F88+$G88)=0,0,2*$F88*$G88/($F88+$G88))</f>
        <v>0</v>
      </c>
      <c r="I88" s="4">
        <f>IF(($C88+$E88)=0,0,$C88/($C88+$E88))</f>
        <v>0</v>
      </c>
    </row>
    <row r="89" spans="1:9">
      <c r="A89" s="4">
        <v>0.87</v>
      </c>
      <c r="B89">
        <f>COUNTIFS(data!$B$2:$B$100000,1,data!$F$2:$F$100000,"&gt;="&amp;$A89)</f>
        <v>0</v>
      </c>
      <c r="C89">
        <f>COUNTIFS(data!$B$2:$B$100000,0,data!$F$2:$F$100000,"&gt;="&amp;$A89)</f>
        <v>0</v>
      </c>
      <c r="D89">
        <f>COUNTIFS(data!$B$2:$B$100000,1,data!$F$2:$F$100000,"&lt;"&amp;$A89)</f>
        <v>0</v>
      </c>
      <c r="E89">
        <f>COUNTIFS(data!$B$2:$B$100000,0,data!$F$2:$F$100000,"&lt;"&amp;$A89)</f>
        <v>0</v>
      </c>
      <c r="F89" s="4">
        <f>IF(($B89+$C89)=0,0,$B89/($B89+$C89))</f>
        <v>0</v>
      </c>
      <c r="G89" s="4">
        <f>IF(($B89+$D89)=0,0,$B89/($B89+$D89))</f>
        <v>0</v>
      </c>
      <c r="H89" s="4">
        <f>IF(($F89+$G89)=0,0,2*$F89*$G89/($F89+$G89))</f>
        <v>0</v>
      </c>
      <c r="I89" s="4">
        <f>IF(($C89+$E89)=0,0,$C89/($C89+$E89))</f>
        <v>0</v>
      </c>
    </row>
    <row r="90" spans="1:9">
      <c r="A90" s="4">
        <v>0.88</v>
      </c>
      <c r="B90">
        <f>COUNTIFS(data!$B$2:$B$100000,1,data!$F$2:$F$100000,"&gt;="&amp;$A90)</f>
        <v>0</v>
      </c>
      <c r="C90">
        <f>COUNTIFS(data!$B$2:$B$100000,0,data!$F$2:$F$100000,"&gt;="&amp;$A90)</f>
        <v>0</v>
      </c>
      <c r="D90">
        <f>COUNTIFS(data!$B$2:$B$100000,1,data!$F$2:$F$100000,"&lt;"&amp;$A90)</f>
        <v>0</v>
      </c>
      <c r="E90">
        <f>COUNTIFS(data!$B$2:$B$100000,0,data!$F$2:$F$100000,"&lt;"&amp;$A90)</f>
        <v>0</v>
      </c>
      <c r="F90" s="4">
        <f>IF(($B90+$C90)=0,0,$B90/($B90+$C90))</f>
        <v>0</v>
      </c>
      <c r="G90" s="4">
        <f>IF(($B90+$D90)=0,0,$B90/($B90+$D90))</f>
        <v>0</v>
      </c>
      <c r="H90" s="4">
        <f>IF(($F90+$G90)=0,0,2*$F90*$G90/($F90+$G90))</f>
        <v>0</v>
      </c>
      <c r="I90" s="4">
        <f>IF(($C90+$E90)=0,0,$C90/($C90+$E90))</f>
        <v>0</v>
      </c>
    </row>
    <row r="91" spans="1:9">
      <c r="A91" s="4">
        <v>0.89</v>
      </c>
      <c r="B91">
        <f>COUNTIFS(data!$B$2:$B$100000,1,data!$F$2:$F$100000,"&gt;="&amp;$A91)</f>
        <v>0</v>
      </c>
      <c r="C91">
        <f>COUNTIFS(data!$B$2:$B$100000,0,data!$F$2:$F$100000,"&gt;="&amp;$A91)</f>
        <v>0</v>
      </c>
      <c r="D91">
        <f>COUNTIFS(data!$B$2:$B$100000,1,data!$F$2:$F$100000,"&lt;"&amp;$A91)</f>
        <v>0</v>
      </c>
      <c r="E91">
        <f>COUNTIFS(data!$B$2:$B$100000,0,data!$F$2:$F$100000,"&lt;"&amp;$A91)</f>
        <v>0</v>
      </c>
      <c r="F91" s="4">
        <f>IF(($B91+$C91)=0,0,$B91/($B91+$C91))</f>
        <v>0</v>
      </c>
      <c r="G91" s="4">
        <f>IF(($B91+$D91)=0,0,$B91/($B91+$D91))</f>
        <v>0</v>
      </c>
      <c r="H91" s="4">
        <f>IF(($F91+$G91)=0,0,2*$F91*$G91/($F91+$G91))</f>
        <v>0</v>
      </c>
      <c r="I91" s="4">
        <f>IF(($C91+$E91)=0,0,$C91/($C91+$E91))</f>
        <v>0</v>
      </c>
    </row>
    <row r="92" spans="1:9">
      <c r="A92" s="4">
        <v>0.9</v>
      </c>
      <c r="B92">
        <f>COUNTIFS(data!$B$2:$B$100000,1,data!$F$2:$F$100000,"&gt;="&amp;$A92)</f>
        <v>0</v>
      </c>
      <c r="C92">
        <f>COUNTIFS(data!$B$2:$B$100000,0,data!$F$2:$F$100000,"&gt;="&amp;$A92)</f>
        <v>0</v>
      </c>
      <c r="D92">
        <f>COUNTIFS(data!$B$2:$B$100000,1,data!$F$2:$F$100000,"&lt;"&amp;$A92)</f>
        <v>0</v>
      </c>
      <c r="E92">
        <f>COUNTIFS(data!$B$2:$B$100000,0,data!$F$2:$F$100000,"&lt;"&amp;$A92)</f>
        <v>0</v>
      </c>
      <c r="F92" s="4">
        <f>IF(($B92+$C92)=0,0,$B92/($B92+$C92))</f>
        <v>0</v>
      </c>
      <c r="G92" s="4">
        <f>IF(($B92+$D92)=0,0,$B92/($B92+$D92))</f>
        <v>0</v>
      </c>
      <c r="H92" s="4">
        <f>IF(($F92+$G92)=0,0,2*$F92*$G92/($F92+$G92))</f>
        <v>0</v>
      </c>
      <c r="I92" s="4">
        <f>IF(($C92+$E92)=0,0,$C92/($C92+$E92))</f>
        <v>0</v>
      </c>
    </row>
    <row r="93" spans="1:9">
      <c r="A93" s="4">
        <v>0.91</v>
      </c>
      <c r="B93">
        <f>COUNTIFS(data!$B$2:$B$100000,1,data!$F$2:$F$100000,"&gt;="&amp;$A93)</f>
        <v>0</v>
      </c>
      <c r="C93">
        <f>COUNTIFS(data!$B$2:$B$100000,0,data!$F$2:$F$100000,"&gt;="&amp;$A93)</f>
        <v>0</v>
      </c>
      <c r="D93">
        <f>COUNTIFS(data!$B$2:$B$100000,1,data!$F$2:$F$100000,"&lt;"&amp;$A93)</f>
        <v>0</v>
      </c>
      <c r="E93">
        <f>COUNTIFS(data!$B$2:$B$100000,0,data!$F$2:$F$100000,"&lt;"&amp;$A93)</f>
        <v>0</v>
      </c>
      <c r="F93" s="4">
        <f>IF(($B93+$C93)=0,0,$B93/($B93+$C93))</f>
        <v>0</v>
      </c>
      <c r="G93" s="4">
        <f>IF(($B93+$D93)=0,0,$B93/($B93+$D93))</f>
        <v>0</v>
      </c>
      <c r="H93" s="4">
        <f>IF(($F93+$G93)=0,0,2*$F93*$G93/($F93+$G93))</f>
        <v>0</v>
      </c>
      <c r="I93" s="4">
        <f>IF(($C93+$E93)=0,0,$C93/($C93+$E93))</f>
        <v>0</v>
      </c>
    </row>
    <row r="94" spans="1:9">
      <c r="A94" s="4">
        <v>0.92</v>
      </c>
      <c r="B94">
        <f>COUNTIFS(data!$B$2:$B$100000,1,data!$F$2:$F$100000,"&gt;="&amp;$A94)</f>
        <v>0</v>
      </c>
      <c r="C94">
        <f>COUNTIFS(data!$B$2:$B$100000,0,data!$F$2:$F$100000,"&gt;="&amp;$A94)</f>
        <v>0</v>
      </c>
      <c r="D94">
        <f>COUNTIFS(data!$B$2:$B$100000,1,data!$F$2:$F$100000,"&lt;"&amp;$A94)</f>
        <v>0</v>
      </c>
      <c r="E94">
        <f>COUNTIFS(data!$B$2:$B$100000,0,data!$F$2:$F$100000,"&lt;"&amp;$A94)</f>
        <v>0</v>
      </c>
      <c r="F94" s="4">
        <f>IF(($B94+$C94)=0,0,$B94/($B94+$C94))</f>
        <v>0</v>
      </c>
      <c r="G94" s="4">
        <f>IF(($B94+$D94)=0,0,$B94/($B94+$D94))</f>
        <v>0</v>
      </c>
      <c r="H94" s="4">
        <f>IF(($F94+$G94)=0,0,2*$F94*$G94/($F94+$G94))</f>
        <v>0</v>
      </c>
      <c r="I94" s="4">
        <f>IF(($C94+$E94)=0,0,$C94/($C94+$E94))</f>
        <v>0</v>
      </c>
    </row>
    <row r="95" spans="1:9">
      <c r="A95" s="4">
        <v>0.93</v>
      </c>
      <c r="B95">
        <f>COUNTIFS(data!$B$2:$B$100000,1,data!$F$2:$F$100000,"&gt;="&amp;$A95)</f>
        <v>0</v>
      </c>
      <c r="C95">
        <f>COUNTIFS(data!$B$2:$B$100000,0,data!$F$2:$F$100000,"&gt;="&amp;$A95)</f>
        <v>0</v>
      </c>
      <c r="D95">
        <f>COUNTIFS(data!$B$2:$B$100000,1,data!$F$2:$F$100000,"&lt;"&amp;$A95)</f>
        <v>0</v>
      </c>
      <c r="E95">
        <f>COUNTIFS(data!$B$2:$B$100000,0,data!$F$2:$F$100000,"&lt;"&amp;$A95)</f>
        <v>0</v>
      </c>
      <c r="F95" s="4">
        <f>IF(($B95+$C95)=0,0,$B95/($B95+$C95))</f>
        <v>0</v>
      </c>
      <c r="G95" s="4">
        <f>IF(($B95+$D95)=0,0,$B95/($B95+$D95))</f>
        <v>0</v>
      </c>
      <c r="H95" s="4">
        <f>IF(($F95+$G95)=0,0,2*$F95*$G95/($F95+$G95))</f>
        <v>0</v>
      </c>
      <c r="I95" s="4">
        <f>IF(($C95+$E95)=0,0,$C95/($C95+$E95))</f>
        <v>0</v>
      </c>
    </row>
    <row r="96" spans="1:9">
      <c r="A96" s="4">
        <v>0.9399999999999999</v>
      </c>
      <c r="B96">
        <f>COUNTIFS(data!$B$2:$B$100000,1,data!$F$2:$F$100000,"&gt;="&amp;$A96)</f>
        <v>0</v>
      </c>
      <c r="C96">
        <f>COUNTIFS(data!$B$2:$B$100000,0,data!$F$2:$F$100000,"&gt;="&amp;$A96)</f>
        <v>0</v>
      </c>
      <c r="D96">
        <f>COUNTIFS(data!$B$2:$B$100000,1,data!$F$2:$F$100000,"&lt;"&amp;$A96)</f>
        <v>0</v>
      </c>
      <c r="E96">
        <f>COUNTIFS(data!$B$2:$B$100000,0,data!$F$2:$F$100000,"&lt;"&amp;$A96)</f>
        <v>0</v>
      </c>
      <c r="F96" s="4">
        <f>IF(($B96+$C96)=0,0,$B96/($B96+$C96))</f>
        <v>0</v>
      </c>
      <c r="G96" s="4">
        <f>IF(($B96+$D96)=0,0,$B96/($B96+$D96))</f>
        <v>0</v>
      </c>
      <c r="H96" s="4">
        <f>IF(($F96+$G96)=0,0,2*$F96*$G96/($F96+$G96))</f>
        <v>0</v>
      </c>
      <c r="I96" s="4">
        <f>IF(($C96+$E96)=0,0,$C96/($C96+$E96))</f>
        <v>0</v>
      </c>
    </row>
    <row r="97" spans="1:9">
      <c r="A97" s="4">
        <v>0.95</v>
      </c>
      <c r="B97">
        <f>COUNTIFS(data!$B$2:$B$100000,1,data!$F$2:$F$100000,"&gt;="&amp;$A97)</f>
        <v>0</v>
      </c>
      <c r="C97">
        <f>COUNTIFS(data!$B$2:$B$100000,0,data!$F$2:$F$100000,"&gt;="&amp;$A97)</f>
        <v>0</v>
      </c>
      <c r="D97">
        <f>COUNTIFS(data!$B$2:$B$100000,1,data!$F$2:$F$100000,"&lt;"&amp;$A97)</f>
        <v>0</v>
      </c>
      <c r="E97">
        <f>COUNTIFS(data!$B$2:$B$100000,0,data!$F$2:$F$100000,"&lt;"&amp;$A97)</f>
        <v>0</v>
      </c>
      <c r="F97" s="4">
        <f>IF(($B97+$C97)=0,0,$B97/($B97+$C97))</f>
        <v>0</v>
      </c>
      <c r="G97" s="4">
        <f>IF(($B97+$D97)=0,0,$B97/($B97+$D97))</f>
        <v>0</v>
      </c>
      <c r="H97" s="4">
        <f>IF(($F97+$G97)=0,0,2*$F97*$G97/($F97+$G97))</f>
        <v>0</v>
      </c>
      <c r="I97" s="4">
        <f>IF(($C97+$E97)=0,0,$C97/($C97+$E97))</f>
        <v>0</v>
      </c>
    </row>
    <row r="98" spans="1:9">
      <c r="A98" s="4">
        <v>0.96</v>
      </c>
      <c r="B98">
        <f>COUNTIFS(data!$B$2:$B$100000,1,data!$F$2:$F$100000,"&gt;="&amp;$A98)</f>
        <v>0</v>
      </c>
      <c r="C98">
        <f>COUNTIFS(data!$B$2:$B$100000,0,data!$F$2:$F$100000,"&gt;="&amp;$A98)</f>
        <v>0</v>
      </c>
      <c r="D98">
        <f>COUNTIFS(data!$B$2:$B$100000,1,data!$F$2:$F$100000,"&lt;"&amp;$A98)</f>
        <v>0</v>
      </c>
      <c r="E98">
        <f>COUNTIFS(data!$B$2:$B$100000,0,data!$F$2:$F$100000,"&lt;"&amp;$A98)</f>
        <v>0</v>
      </c>
      <c r="F98" s="4">
        <f>IF(($B98+$C98)=0,0,$B98/($B98+$C98))</f>
        <v>0</v>
      </c>
      <c r="G98" s="4">
        <f>IF(($B98+$D98)=0,0,$B98/($B98+$D98))</f>
        <v>0</v>
      </c>
      <c r="H98" s="4">
        <f>IF(($F98+$G98)=0,0,2*$F98*$G98/($F98+$G98))</f>
        <v>0</v>
      </c>
      <c r="I98" s="4">
        <f>IF(($C98+$E98)=0,0,$C98/($C98+$E98))</f>
        <v>0</v>
      </c>
    </row>
    <row r="99" spans="1:9">
      <c r="A99" s="4">
        <v>0.97</v>
      </c>
      <c r="B99">
        <f>COUNTIFS(data!$B$2:$B$100000,1,data!$F$2:$F$100000,"&gt;="&amp;$A99)</f>
        <v>0</v>
      </c>
      <c r="C99">
        <f>COUNTIFS(data!$B$2:$B$100000,0,data!$F$2:$F$100000,"&gt;="&amp;$A99)</f>
        <v>0</v>
      </c>
      <c r="D99">
        <f>COUNTIFS(data!$B$2:$B$100000,1,data!$F$2:$F$100000,"&lt;"&amp;$A99)</f>
        <v>0</v>
      </c>
      <c r="E99">
        <f>COUNTIFS(data!$B$2:$B$100000,0,data!$F$2:$F$100000,"&lt;"&amp;$A99)</f>
        <v>0</v>
      </c>
      <c r="F99" s="4">
        <f>IF(($B99+$C99)=0,0,$B99/($B99+$C99))</f>
        <v>0</v>
      </c>
      <c r="G99" s="4">
        <f>IF(($B99+$D99)=0,0,$B99/($B99+$D99))</f>
        <v>0</v>
      </c>
      <c r="H99" s="4">
        <f>IF(($F99+$G99)=0,0,2*$F99*$G99/($F99+$G99))</f>
        <v>0</v>
      </c>
      <c r="I99" s="4">
        <f>IF(($C99+$E99)=0,0,$C99/($C99+$E99))</f>
        <v>0</v>
      </c>
    </row>
    <row r="100" spans="1:9">
      <c r="A100" s="4">
        <v>0.98</v>
      </c>
      <c r="B100">
        <f>COUNTIFS(data!$B$2:$B$100000,1,data!$F$2:$F$100000,"&gt;="&amp;$A100)</f>
        <v>0</v>
      </c>
      <c r="C100">
        <f>COUNTIFS(data!$B$2:$B$100000,0,data!$F$2:$F$100000,"&gt;="&amp;$A100)</f>
        <v>0</v>
      </c>
      <c r="D100">
        <f>COUNTIFS(data!$B$2:$B$100000,1,data!$F$2:$F$100000,"&lt;"&amp;$A100)</f>
        <v>0</v>
      </c>
      <c r="E100">
        <f>COUNTIFS(data!$B$2:$B$100000,0,data!$F$2:$F$100000,"&lt;"&amp;$A100)</f>
        <v>0</v>
      </c>
      <c r="F100" s="4">
        <f>IF(($B100+$C100)=0,0,$B100/($B100+$C100))</f>
        <v>0</v>
      </c>
      <c r="G100" s="4">
        <f>IF(($B100+$D100)=0,0,$B100/($B100+$D100))</f>
        <v>0</v>
      </c>
      <c r="H100" s="4">
        <f>IF(($F100+$G100)=0,0,2*$F100*$G100/($F100+$G100))</f>
        <v>0</v>
      </c>
      <c r="I100" s="4">
        <f>IF(($C100+$E100)=0,0,$C100/($C100+$E100))</f>
        <v>0</v>
      </c>
    </row>
    <row r="101" spans="1:9">
      <c r="A101" s="4">
        <v>0.99</v>
      </c>
      <c r="B101">
        <f>COUNTIFS(data!$B$2:$B$100000,1,data!$F$2:$F$100000,"&gt;="&amp;$A101)</f>
        <v>0</v>
      </c>
      <c r="C101">
        <f>COUNTIFS(data!$B$2:$B$100000,0,data!$F$2:$F$100000,"&gt;="&amp;$A101)</f>
        <v>0</v>
      </c>
      <c r="D101">
        <f>COUNTIFS(data!$B$2:$B$100000,1,data!$F$2:$F$100000,"&lt;"&amp;$A101)</f>
        <v>0</v>
      </c>
      <c r="E101">
        <f>COUNTIFS(data!$B$2:$B$100000,0,data!$F$2:$F$100000,"&lt;"&amp;$A101)</f>
        <v>0</v>
      </c>
      <c r="F101" s="4">
        <f>IF(($B101+$C101)=0,0,$B101/($B101+$C101))</f>
        <v>0</v>
      </c>
      <c r="G101" s="4">
        <f>IF(($B101+$D101)=0,0,$B101/($B101+$D101))</f>
        <v>0</v>
      </c>
      <c r="H101" s="4">
        <f>IF(($F101+$G101)=0,0,2*$F101*$G101/($F101+$G101))</f>
        <v>0</v>
      </c>
      <c r="I101" s="4">
        <f>IF(($C101+$E101)=0,0,$C101/($C101+$E101))</f>
        <v>0</v>
      </c>
    </row>
    <row r="102" spans="1:9">
      <c r="A102" s="4">
        <v>1</v>
      </c>
      <c r="B102">
        <f>COUNTIFS(data!$B$2:$B$100000,1,data!$F$2:$F$100000,"&gt;="&amp;$A102)</f>
        <v>0</v>
      </c>
      <c r="C102">
        <f>COUNTIFS(data!$B$2:$B$100000,0,data!$F$2:$F$100000,"&gt;="&amp;$A102)</f>
        <v>0</v>
      </c>
      <c r="D102">
        <f>COUNTIFS(data!$B$2:$B$100000,1,data!$F$2:$F$100000,"&lt;"&amp;$A102)</f>
        <v>0</v>
      </c>
      <c r="E102">
        <f>COUNTIFS(data!$B$2:$B$100000,0,data!$F$2:$F$100000,"&lt;"&amp;$A102)</f>
        <v>0</v>
      </c>
      <c r="F102" s="4">
        <f>IF(($B102+$C102)=0,0,$B102/($B102+$C102))</f>
        <v>0</v>
      </c>
      <c r="G102" s="4">
        <f>IF(($B102+$D102)=0,0,$B102/($B102+$D102))</f>
        <v>0</v>
      </c>
      <c r="H102" s="4">
        <f>IF(($F102+$G102)=0,0,2*$F102*$G102/($F102+$G102))</f>
        <v>0</v>
      </c>
      <c r="I102" s="4">
        <f>IF(($C102+$E102)=0,0,$C102/($C102+$E102))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2026-06-13T03:56:57Z</dcterms:created>
  <dcterms:modified xsi:type="dcterms:W3CDTF">2026-06-13T03:56:57Z</dcterms:modified>
</cp:coreProperties>
</file>